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<sst xmlns="http://schemas.openxmlformats.org/spreadsheetml/2006/main" count="2038" uniqueCount="760">
  <si>
    <t xml:space="preserve">📊  DASHBOARD PENJUALAN — SUPERSTORE</t>
  </si>
  <si>
    <t xml:space="preserve">Dataset: Sample Superstore (subset 110 transaksi)  |  Dibuat untuk Tugas Dashboard Sederhana - Minggu 7</t>
  </si>
  <si>
    <t xml:space="preserve">🔎 FILTER WILAYAH</t>
  </si>
  <si>
    <t xml:space="preserve">All</t>
  </si>
  <si>
    <t xml:space="preserve">TOTAL SALES</t>
  </si>
  <si>
    <t xml:space="preserve">TOTAL PROFIT</t>
  </si>
  <si>
    <t xml:space="preserve">JUMLAH TRANSAKSI</t>
  </si>
  <si>
    <t xml:space="preserve">TOTAL QTY TERJUAL</t>
  </si>
  <si>
    <t xml:space="preserve">Sales per Kategori</t>
  </si>
  <si>
    <t xml:space="preserve">Sales per Wilayah (semua data)</t>
  </si>
  <si>
    <t xml:space="preserve">Sales per Tahun</t>
  </si>
  <si>
    <t xml:space="preserve">Sales per Segmen</t>
  </si>
  <si>
    <t xml:space="preserve">Label</t>
  </si>
  <si>
    <t xml:space="preserve">Sales</t>
  </si>
  <si>
    <t xml:space="preserve">Furniture</t>
  </si>
  <si>
    <t xml:space="preserve">Central</t>
  </si>
  <si>
    <t xml:space="preserve">2014</t>
  </si>
  <si>
    <t xml:space="preserve">Consumer</t>
  </si>
  <si>
    <t xml:space="preserve">Office Supplies</t>
  </si>
  <si>
    <t xml:space="preserve">East</t>
  </si>
  <si>
    <t xml:space="preserve">2015</t>
  </si>
  <si>
    <t xml:space="preserve">Corporate</t>
  </si>
  <si>
    <t xml:space="preserve">Technology</t>
  </si>
  <si>
    <t xml:space="preserve">South</t>
  </si>
  <si>
    <t xml:space="preserve">2016</t>
  </si>
  <si>
    <t xml:space="preserve">Home Office</t>
  </si>
  <si>
    <t xml:space="preserve">West</t>
  </si>
  <si>
    <t xml:space="preserve">2017</t>
  </si>
  <si>
    <t xml:space="preserve">💡 INSIGHT OTOMATIS</t>
  </si>
  <si>
    <t xml:space="preserve">Catatan: Ubah dropdown D5 untuk memfilter KPI, Grafik Kategori, Grafik Tren, dan Grafik Segmen berdasarkan wilayah. Grafik Wilayah selalu tampil penuh sebagai pembanding.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</si>
  <si>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</si>
  <si>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</si>
  <si>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</si>
  <si>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</si>
  <si>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</si>
  <si>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</si>
  <si>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</si>
  <si>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</si>
  <si>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</si>
  <si>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</si>
  <si>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</si>
  <si>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</si>
  <si>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</si>
  <si>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</si>
  <si>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</si>
  <si>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</si>
  <si>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</si>
  <si>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</si>
  <si>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Discount</t>
  </si>
  <si>
    <t xml:space="preserve">Profit</t>
  </si>
  <si>
    <t xml:space="preserve">Year</t>
  </si>
  <si>
    <t xml:space="preserve">1</t>
  </si>
  <si>
    <t xml:space="preserve">CA-2016-152156</t>
  </si>
  <si>
    <t xml:space="preserve">08/11/16</t>
  </si>
  <si>
    <t xml:space="preserve">11/11/16</t>
  </si>
  <si>
    <t xml:space="preserve">Second Class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</si>
  <si>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</si>
  <si>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</si>
  <si>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</si>
  <si>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</si>
  <si>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</si>
  <si>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42420</t>
  </si>
  <si>
    <t xml:space="preserve">FUR-BO-10001798</t>
  </si>
  <si>
    <t xml:space="preserve">Bookcases</t>
  </si>
  <si>
    <t xml:space="preserve">Bush Somerset Collection Bookcase</t>
  </si>
  <si>
    <t xml:space="preserve">2</t>
  </si>
  <si>
    <t xml:space="preserve">FUR-CH-10000454</t>
  </si>
  <si>
    <t xml:space="preserve">Chairs</t>
  </si>
  <si>
    <t xml:space="preserve">Hon Deluxe Fabric Upholstered Stacking Chairs, Rounded Back</t>
  </si>
  <si>
    <t xml:space="preserve">3</t>
  </si>
  <si>
    <t xml:space="preserve">CA-2016-138688</t>
  </si>
  <si>
    <t xml:space="preserve">12/06/16</t>
  </si>
  <si>
    <t xml:space="preserve">16/06/16</t>
  </si>
  <si>
    <t xml:space="preserve">DV-13045</t>
  </si>
  <si>
    <t xml:space="preserve">Darrin Van Huff</t>
  </si>
  <si>
    <t xml:space="preserve">Los Angeles</t>
  </si>
  <si>
    <t xml:space="preserve">California</t>
  </si>
  <si>
    <t xml:space="preserve">90036</t>
  </si>
  <si>
    <t xml:space="preserve">OFF-LA-10000240</t>
  </si>
  <si>
    <t xml:space="preserve">Labels</t>
  </si>
  <si>
    <t xml:space="preserve">Self-Adhesive Address Labels for Typewriters by Universal</t>
  </si>
  <si>
    <t xml:space="preserve">4</t>
  </si>
  <si>
    <t xml:space="preserve">US-2015-108966</t>
  </si>
  <si>
    <t xml:space="preserve">11/10/15</t>
  </si>
  <si>
    <t xml:space="preserve">18/10/15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</si>
  <si>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</si>
  <si>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</si>
  <si>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</si>
  <si>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</si>
  <si>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</si>
  <si>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33311</t>
  </si>
  <si>
    <t xml:space="preserve">FUR-TA-10000577</t>
  </si>
  <si>
    <t xml:space="preserve">Tables</t>
  </si>
  <si>
    <t xml:space="preserve">Bretford CR4500 Series Slim Rectangular Table</t>
  </si>
  <si>
    <t xml:space="preserve">5</t>
  </si>
  <si>
    <t xml:space="preserve">OFF-ST-10000760</t>
  </si>
  <si>
    <t xml:space="preserve">Storage</t>
  </si>
  <si>
    <t xml:space="preserve">Eldon Fold 'N Roll Cart System</t>
  </si>
  <si>
    <t xml:space="preserve">6</t>
  </si>
  <si>
    <t xml:space="preserve">CA-2014-115812</t>
  </si>
  <si>
    <t xml:space="preserve">09/06/14</t>
  </si>
  <si>
    <t xml:space="preserve">14/06/14</t>
  </si>
  <si>
    <t xml:space="preserve">BH-11710</t>
  </si>
  <si>
    <t xml:space="preserve">Brosina Hoffman</t>
  </si>
  <si>
    <t xml:space="preserve">90032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</si>
  <si>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</si>
  <si>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</si>
  <si>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</si>
  <si>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7</t>
  </si>
  <si>
    <t xml:space="preserve">OFF-AR-10002833</t>
  </si>
  <si>
    <t xml:space="preserve">Art</t>
  </si>
  <si>
    <t xml:space="preserve">Newell 322</t>
  </si>
  <si>
    <t xml:space="preserve">8</t>
  </si>
  <si>
    <t xml:space="preserve">TEC-PH-10002275</t>
  </si>
  <si>
    <t xml:space="preserve">Phones</t>
  </si>
  <si>
    <t xml:space="preserve">Mitel 5320 IP Phone VoIP phone</t>
  </si>
  <si>
    <t xml:space="preserve">9</t>
  </si>
  <si>
    <t xml:space="preserve">OFF-BI-10003910</t>
  </si>
  <si>
    <t xml:space="preserve">Binders</t>
  </si>
  <si>
    <t xml:space="preserve">DXL Angle-View Binders with Locking Rings by Samsill</t>
  </si>
  <si>
    <t xml:space="preserve">10</t>
  </si>
  <si>
    <t xml:space="preserve">OFF-AP-10002892</t>
  </si>
  <si>
    <t xml:space="preserve">Appliances</t>
  </si>
  <si>
    <t xml:space="preserve">Belkin F5C206VTEL 6 Outlet Surge</t>
  </si>
  <si>
    <t xml:space="preserve">11</t>
  </si>
  <si>
    <t xml:space="preserve">FUR-TA-10001539</t>
  </si>
  <si>
    <t xml:space="preserve">Chromcraft Rectangular Conference Tables</t>
  </si>
  <si>
    <t xml:space="preserve">12</t>
  </si>
  <si>
    <t xml:space="preserve">TEC-PH-10002033</t>
  </si>
  <si>
    <t xml:space="preserve">Konftel 250 Conference phone - Charcoal black</t>
  </si>
  <si>
    <t xml:space="preserve">13</t>
  </si>
  <si>
    <t xml:space="preserve">CA-2017-114412</t>
  </si>
  <si>
    <t xml:space="preserve">15/04/17</t>
  </si>
  <si>
    <t xml:space="preserve">20/04/17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</si>
  <si>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</si>
  <si>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</si>
  <si>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</si>
  <si>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</si>
  <si>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28027</t>
  </si>
  <si>
    <t xml:space="preserve">OFF-PA-10002365</t>
  </si>
  <si>
    <t xml:space="preserve">Paper</t>
  </si>
  <si>
    <t xml:space="preserve">Xerox 1967</t>
  </si>
  <si>
    <t xml:space="preserve">14</t>
  </si>
  <si>
    <t xml:space="preserve">CA-2016-161389</t>
  </si>
  <si>
    <t xml:space="preserve">05/12/16</t>
  </si>
  <si>
    <t xml:space="preserve">10/12/16</t>
  </si>
  <si>
    <t xml:space="preserve">IM-15070</t>
  </si>
  <si>
    <t xml:space="preserve">Irene Maddox</t>
  </si>
  <si>
    <t xml:space="preserve">Seattle</t>
  </si>
  <si>
    <t xml:space="preserve">Washington</t>
  </si>
  <si>
    <t xml:space="preserve">98103</t>
  </si>
  <si>
    <t xml:space="preserve">OFF-BI-10003656</t>
  </si>
  <si>
    <t xml:space="preserve">Fellowes PB200 Plastic Comb Binding Machine</t>
  </si>
  <si>
    <t xml:space="preserve">15</t>
  </si>
  <si>
    <t xml:space="preserve">US-2015-118983</t>
  </si>
  <si>
    <t xml:space="preserve">22/11/15</t>
  </si>
  <si>
    <t xml:space="preserve">26/11/15</t>
  </si>
  <si>
    <t xml:space="preserve">HP-14815</t>
  </si>
  <si>
    <t xml:space="preserve">Harold Pawlan</t>
  </si>
  <si>
    <t xml:space="preserve">Fort Worth</t>
  </si>
  <si>
    <t xml:space="preserve">Texas</t>
  </si>
  <si>
    <t xml:space="preserve">76106</t>
  </si>
  <si>
    <t xml:space="preserve">OFF-AP-10002311</t>
  </si>
  <si>
    <t xml:space="preserve">Holmes Replacement Filter for HEPA Air Cleaner, Very Large Room, HEPA Filter</t>
  </si>
  <si>
    <t xml:space="preserve">16</t>
  </si>
  <si>
    <t xml:space="preserve">OFF-BI-10000756</t>
  </si>
  <si>
    <t xml:space="preserve">Storex DuraTech Recycled Plastic Frosted Binders</t>
  </si>
  <si>
    <t xml:space="preserve">17</t>
  </si>
  <si>
    <t xml:space="preserve">CA-2014-105893</t>
  </si>
  <si>
    <t xml:space="preserve">11/11/14</t>
  </si>
  <si>
    <t xml:space="preserve">18/11/14</t>
  </si>
  <si>
    <t xml:space="preserve">PK-19075</t>
  </si>
  <si>
    <t xml:space="preserve">Pete Kriz</t>
  </si>
  <si>
    <t xml:space="preserve">Madison</t>
  </si>
  <si>
    <t xml:space="preserve">Wisconsin</t>
  </si>
  <si>
    <t xml:space="preserve">53711</t>
  </si>
  <si>
    <t xml:space="preserve">OFF-ST-10004186</t>
  </si>
  <si>
    <t xml:space="preserve">Stur-D-Stor Shelving, Vertical 5-Shelf: 72"H x 36"W x 18 1/2"D</t>
  </si>
  <si>
    <t xml:space="preserve">18</t>
  </si>
  <si>
    <t xml:space="preserve">CA-2014-167164</t>
  </si>
  <si>
    <t xml:space="preserve">13/05/14</t>
  </si>
  <si>
    <t xml:space="preserve">15/05/14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</si>
  <si>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</si>
  <si>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</si>
  <si>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</si>
  <si>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</si>
  <si>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84084</t>
  </si>
  <si>
    <t xml:space="preserve">OFF-ST-10000107</t>
  </si>
  <si>
    <t xml:space="preserve">Fellowes Super Stor/Drawer</t>
  </si>
  <si>
    <t xml:space="preserve">19</t>
  </si>
  <si>
    <t xml:space="preserve">CA-2014-143336</t>
  </si>
  <si>
    <t xml:space="preserve">27/08/14</t>
  </si>
  <si>
    <t xml:space="preserve">01/09/14</t>
  </si>
  <si>
    <t xml:space="preserve">ZD-21925</t>
  </si>
  <si>
    <t xml:space="preserve">Zuschuss Donatelli</t>
  </si>
  <si>
    <t xml:space="preserve">San Francisco</t>
  </si>
  <si>
    <t xml:space="preserve">94109</t>
  </si>
  <si>
    <t xml:space="preserve">OFF-AR-10003056</t>
  </si>
  <si>
    <t xml:space="preserve">Newell 341</t>
  </si>
  <si>
    <t xml:space="preserve">20</t>
  </si>
  <si>
    <t xml:space="preserve">TEC-PH-10001949</t>
  </si>
  <si>
    <t xml:space="preserve">Cisco SPA 501G IP Phone</t>
  </si>
  <si>
    <t xml:space="preserve">21</t>
  </si>
  <si>
    <t xml:space="preserve">OFF-BI-10002215</t>
  </si>
  <si>
    <t xml:space="preserve">Wilson Jones Hanging View Binder, White, 1"</t>
  </si>
  <si>
    <t xml:space="preserve">22</t>
  </si>
  <si>
    <t xml:space="preserve">CA-2016-137330</t>
  </si>
  <si>
    <t xml:space="preserve">09/12/16</t>
  </si>
  <si>
    <t xml:space="preserve">13/12/16</t>
  </si>
  <si>
    <t xml:space="preserve">KB-16585</t>
  </si>
  <si>
    <t xml:space="preserve">Ken Black</t>
  </si>
  <si>
    <t xml:space="preserve">Fremont</t>
  </si>
  <si>
    <t xml:space="preserve">Nebraska</t>
  </si>
  <si>
    <t xml:space="preserve">68025</t>
  </si>
  <si>
    <t xml:space="preserve">OFF-AR-10000246</t>
  </si>
  <si>
    <t xml:space="preserve">Newell 318</t>
  </si>
  <si>
    <t xml:space="preserve">23</t>
  </si>
  <si>
    <t xml:space="preserve">OFF-AP-10001492</t>
  </si>
  <si>
    <t xml:space="preserve">Acco Six-Outlet Power Strip, 4' Cord Length</t>
  </si>
  <si>
    <t xml:space="preserve">24</t>
  </si>
  <si>
    <t xml:space="preserve">US-2017-156909</t>
  </si>
  <si>
    <t xml:space="preserve">16/07/17</t>
  </si>
  <si>
    <t xml:space="preserve">18/07/17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</si>
  <si>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</si>
  <si>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</si>
  <si>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</si>
  <si>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</si>
  <si>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19140</t>
  </si>
  <si>
    <t xml:space="preserve">FUR-CH-10002774</t>
  </si>
  <si>
    <t xml:space="preserve">Global Deluxe Stacking Chair, Gray</t>
  </si>
  <si>
    <t xml:space="preserve">25</t>
  </si>
  <si>
    <t xml:space="preserve">CA-2015-106320</t>
  </si>
  <si>
    <t xml:space="preserve">25/09/15</t>
  </si>
  <si>
    <t xml:space="preserve">30/09/15</t>
  </si>
  <si>
    <t xml:space="preserve">EB-13870</t>
  </si>
  <si>
    <t xml:space="preserve">Emily Burns</t>
  </si>
  <si>
    <t xml:space="preserve">Orem</t>
  </si>
  <si>
    <t xml:space="preserve">84057</t>
  </si>
  <si>
    <t xml:space="preserve">26</t>
  </si>
  <si>
    <t xml:space="preserve">CA-2016-121755</t>
  </si>
  <si>
    <t xml:space="preserve">16/01/16</t>
  </si>
  <si>
    <t xml:space="preserve">20/01/16</t>
  </si>
  <si>
    <t xml:space="preserve">EH-13945</t>
  </si>
  <si>
    <t xml:space="preserve">Eric Hoffmann</t>
  </si>
  <si>
    <t xml:space="preserve">90049</t>
  </si>
  <si>
    <t xml:space="preserve">OFF-BI-10001634</t>
  </si>
  <si>
    <t xml:space="preserve">Wilson Jones Active Use Binders</t>
  </si>
  <si>
    <t xml:space="preserve">27</t>
  </si>
  <si>
    <t xml:space="preserve">TEC-AC-10003027</t>
  </si>
  <si>
    <t xml:space="preserve">Accessories</t>
  </si>
  <si>
    <t xml:space="preserve">Imation 8GB Mini TravelDrive USB 2.0 Flash Drive</t>
  </si>
  <si>
    <t xml:space="preserve">28</t>
  </si>
  <si>
    <t xml:space="preserve">US-2015-150630</t>
  </si>
  <si>
    <t xml:space="preserve">17/09/15</t>
  </si>
  <si>
    <t xml:space="preserve">21/09/15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</si>
  <si>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</si>
  <si>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</si>
  <si>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</si>
  <si>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</si>
  <si>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29</t>
  </si>
  <si>
    <t xml:space="preserve">OFF-BI-10000474</t>
  </si>
  <si>
    <t xml:space="preserve">Avery Recycled Flexi-View Covers for Binding Systems</t>
  </si>
  <si>
    <t xml:space="preserve">30</t>
  </si>
  <si>
    <t xml:space="preserve">FUR-FU-10004848</t>
  </si>
  <si>
    <t xml:space="preserve">Howard Miller 13-3/4" Diameter Brushed Chrome Round Wall Clock</t>
  </si>
  <si>
    <t xml:space="preserve">31</t>
  </si>
  <si>
    <t xml:space="preserve">OFF-EN-10001509</t>
  </si>
  <si>
    <t xml:space="preserve">Envelopes</t>
  </si>
  <si>
    <t xml:space="preserve">Poly String Tie Envelopes</t>
  </si>
  <si>
    <t xml:space="preserve">32</t>
  </si>
  <si>
    <t xml:space="preserve">OFF-AR-10004042</t>
  </si>
  <si>
    <t xml:space="preserve">BOSTON Model 1800 Electric Pencil Sharpeners, Putty/Woodgrain</t>
  </si>
  <si>
    <t xml:space="preserve">33</t>
  </si>
  <si>
    <t xml:space="preserve">OFF-BI-10001525</t>
  </si>
  <si>
    <t xml:space="preserve">Acco Pressboard Covers with Storage Hooks, 14 7/8" x 11", Executive Red</t>
  </si>
  <si>
    <t xml:space="preserve">34</t>
  </si>
  <si>
    <t xml:space="preserve">OFF-AR-10001683</t>
  </si>
  <si>
    <t xml:space="preserve">Lumber Crayons</t>
  </si>
  <si>
    <t xml:space="preserve">35</t>
  </si>
  <si>
    <t xml:space="preserve">CA-2017-107727</t>
  </si>
  <si>
    <t xml:space="preserve">19/10/17</t>
  </si>
  <si>
    <t xml:space="preserve">23/10/17</t>
  </si>
  <si>
    <t xml:space="preserve">MA-17560</t>
  </si>
  <si>
    <t xml:space="preserve">Matt Abelman</t>
  </si>
  <si>
    <t xml:space="preserve">Houston</t>
  </si>
  <si>
    <t xml:space="preserve">77095</t>
  </si>
  <si>
    <t xml:space="preserve">OFF-PA-10000249</t>
  </si>
  <si>
    <t xml:space="preserve">Easy-staple paper</t>
  </si>
  <si>
    <t xml:space="preserve">36</t>
  </si>
  <si>
    <t xml:space="preserve">CA-2016-117590</t>
  </si>
  <si>
    <t xml:space="preserve">08/12/16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</si>
  <si>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</si>
  <si>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</si>
  <si>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</si>
  <si>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</si>
  <si>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75080</t>
  </si>
  <si>
    <t xml:space="preserve">TEC-PH-10004977</t>
  </si>
  <si>
    <t xml:space="preserve">GE 30524EE4</t>
  </si>
  <si>
    <t xml:space="preserve">37</t>
  </si>
  <si>
    <t xml:space="preserve">FUR-FU-10003664</t>
  </si>
  <si>
    <t xml:space="preserve">Electrix Architect's Clamp-On Swing Arm Lamp, Black</t>
  </si>
  <si>
    <t xml:space="preserve">38</t>
  </si>
  <si>
    <t xml:space="preserve">CA-2015-117415</t>
  </si>
  <si>
    <t xml:space="preserve">27/12/15</t>
  </si>
  <si>
    <t xml:space="preserve">31/12/15</t>
  </si>
  <si>
    <t xml:space="preserve">SN-20710</t>
  </si>
  <si>
    <t xml:space="preserve">Steve Nguyen</t>
  </si>
  <si>
    <t xml:space="preserve">77041</t>
  </si>
  <si>
    <t xml:space="preserve">OFF-EN-10002986</t>
  </si>
  <si>
    <t xml:space="preserve">#10-4 1/8" x 9 1/2" Premium Diagonal Seam Envelopes</t>
  </si>
  <si>
    <t xml:space="preserve">39</t>
  </si>
  <si>
    <t xml:space="preserve">FUR-BO-10002545</t>
  </si>
  <si>
    <t xml:space="preserve">Atlantic Metals Mobile 3-Shelf Bookcases, Custom Colors</t>
  </si>
  <si>
    <t xml:space="preserve">40</t>
  </si>
  <si>
    <t xml:space="preserve">FUR-CH-10004218</t>
  </si>
  <si>
    <t xml:space="preserve">Global Fabric Manager's Chair, Dark Gray</t>
  </si>
  <si>
    <t xml:space="preserve">41</t>
  </si>
  <si>
    <t xml:space="preserve">TEC-PH-10000486</t>
  </si>
  <si>
    <t xml:space="preserve">Plantronics HL10 Handset Lifter</t>
  </si>
  <si>
    <t xml:space="preserve">42</t>
  </si>
  <si>
    <t xml:space="preserve">CA-2017-120999</t>
  </si>
  <si>
    <t xml:space="preserve">10/09/17</t>
  </si>
  <si>
    <t xml:space="preserve">15/09/17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</si>
  <si>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</si>
  <si>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</si>
  <si>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</si>
  <si>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</si>
  <si>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60540</t>
  </si>
  <si>
    <t xml:space="preserve">TEC-PH-10004093</t>
  </si>
  <si>
    <t xml:space="preserve">Panasonic Kx-TS550</t>
  </si>
  <si>
    <t xml:space="preserve">43</t>
  </si>
  <si>
    <t xml:space="preserve">CA-2016-101343</t>
  </si>
  <si>
    <t xml:space="preserve">17/07/16</t>
  </si>
  <si>
    <t xml:space="preserve">22/07/16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</si>
  <si>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</si>
  <si>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</si>
  <si>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</si>
  <si>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</si>
  <si>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44</t>
  </si>
  <si>
    <t xml:space="preserve">CA-2017-139619</t>
  </si>
  <si>
    <t xml:space="preserve">19/09/17</t>
  </si>
  <si>
    <t xml:space="preserve">23/09/17</t>
  </si>
  <si>
    <t xml:space="preserve">ES-14080</t>
  </si>
  <si>
    <t xml:space="preserve">Erin Smith</t>
  </si>
  <si>
    <t xml:space="preserve">Melbourne</t>
  </si>
  <si>
    <t xml:space="preserve">32935</t>
  </si>
  <si>
    <t xml:space="preserve">OFF-ST-10003282</t>
  </si>
  <si>
    <t xml:space="preserve">Advantus 10-Drawer Portable Organizer, Chrome Metal Frame, Smoke Drawers</t>
  </si>
  <si>
    <t xml:space="preserve">45</t>
  </si>
  <si>
    <t xml:space="preserve">CA-2016-118255</t>
  </si>
  <si>
    <t xml:space="preserve">11/03/16</t>
  </si>
  <si>
    <t xml:space="preserve">13/03/16</t>
  </si>
  <si>
    <t xml:space="preserve">ON-18715</t>
  </si>
  <si>
    <t xml:space="preserve">Odella Nelson</t>
  </si>
  <si>
    <t xml:space="preserve">Eagan</t>
  </si>
  <si>
    <t xml:space="preserve">Minnesota</t>
  </si>
  <si>
    <t xml:space="preserve">55122</t>
  </si>
  <si>
    <t xml:space="preserve">TEC-AC-10000171</t>
  </si>
  <si>
    <t xml:space="preserve">Verbatim 25 GB 6x Blu-ray Single Layer Recordable Disc, 25/Pack</t>
  </si>
  <si>
    <t xml:space="preserve">46</t>
  </si>
  <si>
    <t xml:space="preserve">OFF-BI-10003291</t>
  </si>
  <si>
    <t xml:space="preserve">Wilson Jones Leather-Like Binders with DublLock Round Rings</t>
  </si>
  <si>
    <t xml:space="preserve">47</t>
  </si>
  <si>
    <t xml:space="preserve">CA-2014-146703</t>
  </si>
  <si>
    <t xml:space="preserve">20/10/14</t>
  </si>
  <si>
    <t xml:space="preserve">25/10/14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</si>
  <si>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</si>
  <si>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</si>
  <si>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</si>
  <si>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</si>
  <si>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48185</t>
  </si>
  <si>
    <t xml:space="preserve">OFF-ST-10001713</t>
  </si>
  <si>
    <t xml:space="preserve">Gould Plastics 9-Pocket Panel Bin, 18-3/8w x 5-1/4d x 20-1/2h, Black</t>
  </si>
  <si>
    <t xml:space="preserve">48</t>
  </si>
  <si>
    <t xml:space="preserve">CA-2016-169194</t>
  </si>
  <si>
    <t xml:space="preserve">20/06/16</t>
  </si>
  <si>
    <t xml:space="preserve">25/06/16</t>
  </si>
  <si>
    <t xml:space="preserve">LH-16900</t>
  </si>
  <si>
    <t xml:space="preserve">Lena Hernandez</t>
  </si>
  <si>
    <t xml:space="preserve">Dover</t>
  </si>
  <si>
    <t xml:space="preserve">Delaware</t>
  </si>
  <si>
    <t xml:space="preserve">19901</t>
  </si>
  <si>
    <t xml:space="preserve">TEC-AC-10002167</t>
  </si>
  <si>
    <t xml:space="preserve">Imation 8gb Micro Traveldrive Usb 2.0 Flash Drive</t>
  </si>
  <si>
    <t xml:space="preserve">49</t>
  </si>
  <si>
    <t xml:space="preserve">TEC-PH-10003988</t>
  </si>
  <si>
    <t xml:space="preserve">LF Elite 3D Dazzle Designer Hard Case Cover, Lf Stylus Pen and Wiper For Apple Iphone 5c Mini Lite</t>
  </si>
  <si>
    <t xml:space="preserve">50</t>
  </si>
  <si>
    <t xml:space="preserve">CA-2015-115742</t>
  </si>
  <si>
    <t xml:space="preserve">18/04/15</t>
  </si>
  <si>
    <t xml:space="preserve">22/04/15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</si>
  <si>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</si>
  <si>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</si>
  <si>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</si>
  <si>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</si>
  <si>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47150</t>
  </si>
  <si>
    <t xml:space="preserve">OFF-BI-10004410</t>
  </si>
  <si>
    <t xml:space="preserve">C-Line Peel &amp; Stick Add-On Filing Pockets, 8-3/4 x 5-1/8, 10/Pack</t>
  </si>
  <si>
    <t xml:space="preserve">51</t>
  </si>
  <si>
    <t xml:space="preserve">OFF-LA-10002762</t>
  </si>
  <si>
    <t xml:space="preserve">Avery 485</t>
  </si>
  <si>
    <t xml:space="preserve">52</t>
  </si>
  <si>
    <t xml:space="preserve">FUR-FU-10001706</t>
  </si>
  <si>
    <t xml:space="preserve">Longer-Life Soft White Bulbs</t>
  </si>
  <si>
    <t xml:space="preserve">53</t>
  </si>
  <si>
    <t xml:space="preserve">FUR-CH-10003061</t>
  </si>
  <si>
    <t xml:space="preserve">Global Leather Task Chair, Black</t>
  </si>
  <si>
    <t xml:space="preserve">54</t>
  </si>
  <si>
    <t xml:space="preserve">CA-2016-105816</t>
  </si>
  <si>
    <t xml:space="preserve">11/12/16</t>
  </si>
  <si>
    <t xml:space="preserve">17/12/16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</si>
  <si>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</si>
  <si>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</si>
  <si>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</si>
  <si>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</si>
  <si>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10024</t>
  </si>
  <si>
    <t xml:space="preserve">OFF-FA-10000304</t>
  </si>
  <si>
    <t xml:space="preserve">Fasteners</t>
  </si>
  <si>
    <t xml:space="preserve">Advantus Push Pins</t>
  </si>
  <si>
    <t xml:space="preserve">55</t>
  </si>
  <si>
    <t xml:space="preserve">TEC-PH-10002447</t>
  </si>
  <si>
    <t xml:space="preserve">AT&amp;T CL83451 4-Handset Telephone</t>
  </si>
  <si>
    <t xml:space="preserve">56</t>
  </si>
  <si>
    <t xml:space="preserve">CA-2016-111682</t>
  </si>
  <si>
    <t xml:space="preserve">17/06/16</t>
  </si>
  <si>
    <t xml:space="preserve">18/06/16</t>
  </si>
  <si>
    <t xml:space="preserve">TB-21055</t>
  </si>
  <si>
    <t xml:space="preserve">Ted Butterfield</t>
  </si>
  <si>
    <t xml:space="preserve">Troy</t>
  </si>
  <si>
    <t xml:space="preserve">12180</t>
  </si>
  <si>
    <t xml:space="preserve">OFF-ST-10000604</t>
  </si>
  <si>
    <t xml:space="preserve">Home/Office Personal File Carts</t>
  </si>
  <si>
    <t xml:space="preserve">57</t>
  </si>
  <si>
    <t xml:space="preserve">OFF-PA-10001569</t>
  </si>
  <si>
    <t xml:space="preserve">Xerox 232</t>
  </si>
  <si>
    <t xml:space="preserve">58</t>
  </si>
  <si>
    <t xml:space="preserve">FUR-CH-10003968</t>
  </si>
  <si>
    <t xml:space="preserve">Novimex Turbo Task Chair</t>
  </si>
  <si>
    <t xml:space="preserve">59</t>
  </si>
  <si>
    <t xml:space="preserve">OFF-PA-10000587</t>
  </si>
  <si>
    <t xml:space="preserve">Array Parchment Paper, Assorted Colors</t>
  </si>
  <si>
    <t xml:space="preserve">60</t>
  </si>
  <si>
    <t xml:space="preserve">61</t>
  </si>
  <si>
    <t xml:space="preserve">OFF-BI-10001460</t>
  </si>
  <si>
    <t xml:space="preserve">Plastic Binding Combs</t>
  </si>
  <si>
    <t xml:space="preserve">62</t>
  </si>
  <si>
    <t xml:space="preserve">OFF-AR-10001868</t>
  </si>
  <si>
    <t xml:space="preserve">Prang Dustless Chalk Sticks</t>
  </si>
  <si>
    <t xml:space="preserve">63</t>
  </si>
  <si>
    <t xml:space="preserve">CA-2015-135545</t>
  </si>
  <si>
    <t xml:space="preserve">24/11/15</t>
  </si>
  <si>
    <t xml:space="preserve">30/11/15</t>
  </si>
  <si>
    <t xml:space="preserve">KM-16720</t>
  </si>
  <si>
    <t xml:space="preserve">Kunst Miller</t>
  </si>
  <si>
    <t xml:space="preserve">90004</t>
  </si>
  <si>
    <t xml:space="preserve">TEC-AC-10004633</t>
  </si>
  <si>
    <t xml:space="preserve">Verbatim 25 GB 6x Blu-ray Single Layer Recordable Disc, 3/Pack</t>
  </si>
  <si>
    <t xml:space="preserve">64</t>
  </si>
  <si>
    <t xml:space="preserve">OFF-BI-10001078</t>
  </si>
  <si>
    <t xml:space="preserve">Acco PRESSTEX Data Binder with Storage Hooks, Dark Blue, 14 7/8" X 11"</t>
  </si>
  <si>
    <t xml:space="preserve">65</t>
  </si>
  <si>
    <t xml:space="preserve">OFF-PA-10003892</t>
  </si>
  <si>
    <t xml:space="preserve">Xerox 1943</t>
  </si>
  <si>
    <t xml:space="preserve">66</t>
  </si>
  <si>
    <t xml:space="preserve">FUR-FU-10000397</t>
  </si>
  <si>
    <t xml:space="preserve">Luxo Economy Swing Arm Lamp</t>
  </si>
  <si>
    <t xml:space="preserve">67</t>
  </si>
  <si>
    <t xml:space="preserve">US-2015-164175</t>
  </si>
  <si>
    <t xml:space="preserve">30/04/15</t>
  </si>
  <si>
    <t xml:space="preserve">05/05/15</t>
  </si>
  <si>
    <t xml:space="preserve">PS-18970</t>
  </si>
  <si>
    <t xml:space="preserve">Paul Stevenson</t>
  </si>
  <si>
    <t xml:space="preserve">Chicago</t>
  </si>
  <si>
    <t xml:space="preserve">60610</t>
  </si>
  <si>
    <t xml:space="preserve">FUR-CH-10001146</t>
  </si>
  <si>
    <t xml:space="preserve">Global Value Mid-Back Manager's Chair, Gray</t>
  </si>
  <si>
    <t xml:space="preserve">68</t>
  </si>
  <si>
    <t xml:space="preserve">CA-2014-106376</t>
  </si>
  <si>
    <t xml:space="preserve">05/12/14</t>
  </si>
  <si>
    <t xml:space="preserve">10/12/14</t>
  </si>
  <si>
    <t xml:space="preserve">BS-11590</t>
  </si>
  <si>
    <t xml:space="preserve">Brendan Sweed</t>
  </si>
  <si>
    <t xml:space="preserve">Gilbert</t>
  </si>
  <si>
    <t xml:space="preserve">Arizona</t>
  </si>
  <si>
    <t xml:space="preserve">85234</t>
  </si>
  <si>
    <t xml:space="preserve">OFF-AR-10002671</t>
  </si>
  <si>
    <t xml:space="preserve">Hunt BOSTON Model 1606 High-Volume Electric Pencil Sharpener, Beige</t>
  </si>
  <si>
    <t xml:space="preserve">69</t>
  </si>
  <si>
    <t xml:space="preserve">TEC-PH-10002726</t>
  </si>
  <si>
    <t xml:space="preserve">netTALK DUO VoIP Telephone Service</t>
  </si>
  <si>
    <t xml:space="preserve">70</t>
  </si>
  <si>
    <t xml:space="preserve">CA-2016-119823</t>
  </si>
  <si>
    <t xml:space="preserve">04/06/16</t>
  </si>
  <si>
    <t xml:space="preserve">06/06/16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</si>
  <si>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</si>
  <si>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</si>
  <si>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</si>
  <si>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</si>
  <si>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22153</t>
  </si>
  <si>
    <t xml:space="preserve">OFF-PA-10000482</t>
  </si>
  <si>
    <t xml:space="preserve">Snap-A-Way Black Print Carbonless Ruled Speed Letter, Triplicate</t>
  </si>
  <si>
    <t xml:space="preserve">71</t>
  </si>
  <si>
    <t xml:space="preserve">CA-2016-106075</t>
  </si>
  <si>
    <t xml:space="preserve">18/09/16</t>
  </si>
  <si>
    <t xml:space="preserve">23/09/16</t>
  </si>
  <si>
    <t xml:space="preserve">HM-14980</t>
  </si>
  <si>
    <t xml:space="preserve">Henry MacAllister</t>
  </si>
  <si>
    <t xml:space="preserve">10009</t>
  </si>
  <si>
    <t xml:space="preserve">OFF-BI-10004654</t>
  </si>
  <si>
    <t xml:space="preserve">Avery Binding System Hidden Tab Executive Style Index Sets</t>
  </si>
  <si>
    <t xml:space="preserve">72</t>
  </si>
  <si>
    <t xml:space="preserve">CA-2017-114440</t>
  </si>
  <si>
    <t xml:space="preserve">14/09/17</t>
  </si>
  <si>
    <t xml:space="preserve">17/09/17</t>
  </si>
  <si>
    <t xml:space="preserve">Jackson</t>
  </si>
  <si>
    <t xml:space="preserve">49201</t>
  </si>
  <si>
    <t xml:space="preserve">OFF-PA-10004675</t>
  </si>
  <si>
    <t xml:space="preserve">Telephone Message Books with Fax/Mobile Section, 5 1/2" x 3 3/16"</t>
  </si>
  <si>
    <t xml:space="preserve">73</t>
  </si>
  <si>
    <t xml:space="preserve">US-2015-134026</t>
  </si>
  <si>
    <t xml:space="preserve">26/04/15</t>
  </si>
  <si>
    <t xml:space="preserve">02/05/15</t>
  </si>
  <si>
    <t xml:space="preserve">JE-15745</t>
  </si>
  <si>
    <t xml:space="preserve">Joel Eaton</t>
  </si>
  <si>
    <t xml:space="preserve">Memphis</t>
  </si>
  <si>
    <t xml:space="preserve">Tennessee</t>
  </si>
  <si>
    <t xml:space="preserve">38109</t>
  </si>
  <si>
    <t xml:space="preserve">FUR-CH-10000513</t>
  </si>
  <si>
    <t xml:space="preserve">High-Back Leather Manager's Chair</t>
  </si>
  <si>
    <t xml:space="preserve">74</t>
  </si>
  <si>
    <t xml:space="preserve">FUR-FU-10003708</t>
  </si>
  <si>
    <t xml:space="preserve">Tenex Traditional Chairmats for Medium Pile Carpet, Standard Lip, 36" x 48"</t>
  </si>
  <si>
    <t xml:space="preserve">75</t>
  </si>
  <si>
    <t xml:space="preserve">OFF-ST-10004123</t>
  </si>
  <si>
    <t xml:space="preserve">Safco Industrial Wire Shelving System</t>
  </si>
  <si>
    <t xml:space="preserve">76</t>
  </si>
  <si>
    <t xml:space="preserve">US-2017-118038</t>
  </si>
  <si>
    <t xml:space="preserve">09/12/17</t>
  </si>
  <si>
    <t xml:space="preserve">11/12/17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</si>
  <si>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</si>
  <si>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</si>
  <si>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</si>
  <si>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</si>
  <si>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77</t>
  </si>
  <si>
    <t xml:space="preserve">FUR-FU-10000260</t>
  </si>
  <si>
    <t xml:space="preserve">6" Cubicle Wall Clock, Black</t>
  </si>
  <si>
    <t xml:space="preserve">78</t>
  </si>
  <si>
    <t xml:space="preserve">OFF-ST-10000615</t>
  </si>
  <si>
    <t xml:space="preserve">SimpliFile Personal File, Black Granite, 15w x 6-15/16d x 11-1/4h</t>
  </si>
  <si>
    <t xml:space="preserve">79</t>
  </si>
  <si>
    <t xml:space="preserve">US-2014-147606</t>
  </si>
  <si>
    <t xml:space="preserve">26/11/14</t>
  </si>
  <si>
    <t xml:space="preserve">01/12/14</t>
  </si>
  <si>
    <t xml:space="preserve">77070</t>
  </si>
  <si>
    <t xml:space="preserve">FUR-FU-10003194</t>
  </si>
  <si>
    <t xml:space="preserve">Eldon Expressions Desk Accessory, Wood Pencil Holder, Oak</t>
  </si>
  <si>
    <t xml:space="preserve">80</t>
  </si>
  <si>
    <t xml:space="preserve">CA-2016-127208</t>
  </si>
  <si>
    <t xml:space="preserve">15/06/16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</si>
  <si>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</si>
  <si>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</si>
  <si>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</si>
  <si>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</si>
  <si>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35601</t>
  </si>
  <si>
    <t xml:space="preserve">OFF-AP-10002118</t>
  </si>
  <si>
    <t xml:space="preserve">1.7 Cubic Foot Compact "Cube" Office Refrigerators</t>
  </si>
  <si>
    <t xml:space="preserve">81</t>
  </si>
  <si>
    <t xml:space="preserve">OFF-BI-10002309</t>
  </si>
  <si>
    <t xml:space="preserve">Avery Heavy-Duty EZD Binder With Locking Rings</t>
  </si>
  <si>
    <t xml:space="preserve">82</t>
  </si>
  <si>
    <t xml:space="preserve">CA-2014-139451</t>
  </si>
  <si>
    <t xml:space="preserve">12/10/14</t>
  </si>
  <si>
    <t xml:space="preserve">16/10/14</t>
  </si>
  <si>
    <t xml:space="preserve">DN-13690</t>
  </si>
  <si>
    <t xml:space="preserve">Duane Noonan</t>
  </si>
  <si>
    <t xml:space="preserve">94122</t>
  </si>
  <si>
    <t xml:space="preserve">OFF-AR-10002053</t>
  </si>
  <si>
    <t xml:space="preserve">Premium Writing Pencils, Soft, #2 by Central Association for the Blind</t>
  </si>
  <si>
    <t xml:space="preserve">83</t>
  </si>
  <si>
    <t xml:space="preserve">OFF-ST-10002370</t>
  </si>
  <si>
    <t xml:space="preserve">Sortfiler Multipurpose Personal File Organizer, Black</t>
  </si>
  <si>
    <t xml:space="preserve">84</t>
  </si>
  <si>
    <t xml:space="preserve">CA-2015-149734</t>
  </si>
  <si>
    <t xml:space="preserve">03/09/15</t>
  </si>
  <si>
    <t xml:space="preserve">08/09/15</t>
  </si>
  <si>
    <t xml:space="preserve">JC-16105</t>
  </si>
  <si>
    <t xml:space="preserve">Julie Creighton</t>
  </si>
  <si>
    <t xml:space="preserve">Durham</t>
  </si>
  <si>
    <t xml:space="preserve">27707</t>
  </si>
  <si>
    <t xml:space="preserve">OFF-EN-10000927</t>
  </si>
  <si>
    <t xml:space="preserve">Jet-Pak Recycled Peel 'N' Seal Padded Mailers</t>
  </si>
  <si>
    <t xml:space="preserve">85</t>
  </si>
  <si>
    <t xml:space="preserve">US-2017-119662</t>
  </si>
  <si>
    <t xml:space="preserve">13/11/17</t>
  </si>
  <si>
    <t xml:space="preserve">16/11/17</t>
  </si>
  <si>
    <t xml:space="preserve">CS-12400</t>
  </si>
  <si>
    <t xml:space="preserve">Christopher Schild</t>
  </si>
  <si>
    <t xml:space="preserve">60623</t>
  </si>
  <si>
    <t xml:space="preserve">OFF-ST-10003656</t>
  </si>
  <si>
    <t xml:space="preserve">Safco Industrial Wire Shelving</t>
  </si>
  <si>
    <t xml:space="preserve">86</t>
  </si>
  <si>
    <t xml:space="preserve">CA-2017-140088</t>
  </si>
  <si>
    <t xml:space="preserve">28/05/17</t>
  </si>
  <si>
    <t xml:space="preserve">30/05/17</t>
  </si>
  <si>
    <t xml:space="preserve">Columbia</t>
  </si>
  <si>
    <t xml:space="preserve">South Carolina</t>
  </si>
  <si>
    <t xml:space="preserve">29203</t>
  </si>
  <si>
    <t xml:space="preserve">FUR-CH-10000863</t>
  </si>
  <si>
    <t xml:space="preserve">Novimex Swivel Fabric Task Chair</t>
  </si>
  <si>
    <t xml:space="preserve">87</t>
  </si>
  <si>
    <t xml:space="preserve">CA-2017-155558</t>
  </si>
  <si>
    <t xml:space="preserve">26/10/17</t>
  </si>
  <si>
    <t xml:space="preserve">02/11/17</t>
  </si>
  <si>
    <t xml:space="preserve">PG-18895</t>
  </si>
  <si>
    <t xml:space="preserve">Paul Gonzalez</t>
  </si>
  <si>
    <t xml:space="preserve">Rochester</t>
  </si>
  <si>
    <t xml:space="preserve">55901</t>
  </si>
  <si>
    <t xml:space="preserve">TEC-AC-10001998</t>
  </si>
  <si>
    <t xml:space="preserve">Logitech LS21 Speaker System - PC Multimedia - 2.1-CH - Wired</t>
  </si>
  <si>
    <t xml:space="preserve">88</t>
  </si>
  <si>
    <t xml:space="preserve">OFF-LA-10000134</t>
  </si>
  <si>
    <t xml:space="preserve">Avery 511</t>
  </si>
  <si>
    <t xml:space="preserve">89</t>
  </si>
  <si>
    <t xml:space="preserve">CA-2016-159695</t>
  </si>
  <si>
    <t xml:space="preserve">05/04/16</t>
  </si>
  <si>
    <t xml:space="preserve">10/04/16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</si>
  <si>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</si>
  <si>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</si>
  <si>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</si>
  <si>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</si>
  <si>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90</t>
  </si>
  <si>
    <t xml:space="preserve">CA-2016-109806</t>
  </si>
  <si>
    <t xml:space="preserve">17/09/16</t>
  </si>
  <si>
    <t xml:space="preserve">22/09/16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</si>
  <si>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</si>
  <si>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</si>
  <si>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</si>
  <si>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</si>
  <si>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91</t>
  </si>
  <si>
    <t xml:space="preserve">92</t>
  </si>
  <si>
    <t xml:space="preserve">OFF-PA-10000304</t>
  </si>
  <si>
    <t xml:space="preserve">Xerox 1995</t>
  </si>
  <si>
    <t xml:space="preserve">93</t>
  </si>
  <si>
    <t xml:space="preserve">CA-2015-149587</t>
  </si>
  <si>
    <t xml:space="preserve">31/01/15</t>
  </si>
  <si>
    <t xml:space="preserve">05/02/15</t>
  </si>
  <si>
    <t xml:space="preserve">KB-16315</t>
  </si>
  <si>
    <t xml:space="preserve">Karl Braun</t>
  </si>
  <si>
    <t xml:space="preserve">Minneapolis</t>
  </si>
  <si>
    <t xml:space="preserve">55407</t>
  </si>
  <si>
    <t xml:space="preserve">OFF-PA-10003177</t>
  </si>
  <si>
    <t xml:space="preserve">Xerox 1999</t>
  </si>
  <si>
    <t xml:space="preserve">94</t>
  </si>
  <si>
    <t xml:space="preserve">FUR-FU-10003799</t>
  </si>
  <si>
    <t xml:space="preserve">Seth Thomas 13 1/2" Wall Clock</t>
  </si>
  <si>
    <t xml:space="preserve">95</t>
  </si>
  <si>
    <t xml:space="preserve">OFF-BI-10002852</t>
  </si>
  <si>
    <t xml:space="preserve">Ibico Standard Transparent Covers</t>
  </si>
  <si>
    <t xml:space="preserve">96</t>
  </si>
  <si>
    <t xml:space="preserve">US-2017-109484</t>
  </si>
  <si>
    <t xml:space="preserve">06/11/17</t>
  </si>
  <si>
    <t xml:space="preserve">12/11/17</t>
  </si>
  <si>
    <t xml:space="preserve">RB-19705</t>
  </si>
  <si>
    <t xml:space="preserve">Roger Barcio</t>
  </si>
  <si>
    <t xml:space="preserve">Portland</t>
  </si>
  <si>
    <t xml:space="preserve">Oregon</t>
  </si>
  <si>
    <t xml:space="preserve">97206</t>
  </si>
  <si>
    <t xml:space="preserve">OFF-BI-10004738</t>
  </si>
  <si>
    <t xml:space="preserve">Flexible Leather- Look Classic Collection Ring Binder</t>
  </si>
  <si>
    <t xml:space="preserve">97</t>
  </si>
  <si>
    <t xml:space="preserve">CA-2017-161018</t>
  </si>
  <si>
    <t xml:space="preserve">09/11/17</t>
  </si>
  <si>
    <t xml:space="preserve">11/11/17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</si>
  <si>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</si>
  <si>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</si>
  <si>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</si>
  <si>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</si>
  <si>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98</t>
  </si>
  <si>
    <t xml:space="preserve">CA-2017-157833</t>
  </si>
  <si>
    <t xml:space="preserve">17/06/17</t>
  </si>
  <si>
    <t xml:space="preserve">20/06/17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</si>
  <si>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</si>
  <si>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</si>
  <si>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</si>
  <si>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</si>
  <si>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99</t>
  </si>
  <si>
    <t xml:space="preserve">CA-2016-149223</t>
  </si>
  <si>
    <t xml:space="preserve">06/09/16</t>
  </si>
  <si>
    <t xml:space="preserve">11/09/16</t>
  </si>
  <si>
    <t xml:space="preserve">ER-13855</t>
  </si>
  <si>
    <t xml:space="preserve">Elpida Rittenbach</t>
  </si>
  <si>
    <t xml:space="preserve">Saint Paul</t>
  </si>
  <si>
    <t xml:space="preserve">55106</t>
  </si>
  <si>
    <t xml:space="preserve">OFF-AP-10000358</t>
  </si>
  <si>
    <t xml:space="preserve">Fellowes Basic Home/Office Series Surge Protectors</t>
  </si>
  <si>
    <t xml:space="preserve">100</t>
  </si>
  <si>
    <t xml:space="preserve">CA-2016-158568</t>
  </si>
  <si>
    <t xml:space="preserve">29/08/16</t>
  </si>
  <si>
    <t xml:space="preserve">02/09/16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</si>
  <si>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</si>
  <si>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</si>
  <si>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</si>
  <si>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</si>
  <si>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101</t>
  </si>
  <si>
    <t xml:space="preserve">TEC-AC-10001767</t>
  </si>
  <si>
    <t xml:space="preserve">SanDisk Ultra 64 GB MicroSDHC Class 10 Memory Card</t>
  </si>
  <si>
    <t xml:space="preserve">102</t>
  </si>
  <si>
    <t xml:space="preserve">OFF-BI-10002609</t>
  </si>
  <si>
    <t xml:space="preserve">Avery Hidden Tab Dividers for Binding Systems</t>
  </si>
  <si>
    <t xml:space="preserve">103</t>
  </si>
  <si>
    <t xml:space="preserve">CA-2016-129903</t>
  </si>
  <si>
    <t xml:space="preserve">01/12/16</t>
  </si>
  <si>
    <t xml:space="preserve">04/12/16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</si>
  <si>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</si>
  <si>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</si>
  <si>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</si>
  <si>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</si>
  <si>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104</t>
  </si>
  <si>
    <t xml:space="preserve">US-2015-156867</t>
  </si>
  <si>
    <t xml:space="preserve">13/11/15</t>
  </si>
  <si>
    <t xml:space="preserve">17/11/15</t>
  </si>
  <si>
    <t xml:space="preserve">LC-16870</t>
  </si>
  <si>
    <t xml:space="preserve">Lena Cacioppo</t>
  </si>
  <si>
    <t xml:space="preserve">Aurora</t>
  </si>
  <si>
    <t xml:space="preserve">Colorado</t>
  </si>
  <si>
    <t xml:space="preserve">80013</t>
  </si>
  <si>
    <t xml:space="preserve">TEC-AC-10001552</t>
  </si>
  <si>
    <t xml:space="preserve">Logitech K350 2.4Ghz Wireless Keyboard</t>
  </si>
  <si>
    <t xml:space="preserve">105</t>
  </si>
  <si>
    <t xml:space="preserve">FUR-FU-10004006</t>
  </si>
  <si>
    <t xml:space="preserve">Deflect-o DuraMat Lighweight, Studded, Beveled Mat for Low Pile Carpeting</t>
  </si>
  <si>
    <t xml:space="preserve">106</t>
  </si>
  <si>
    <t xml:space="preserve">OFF-BI-10002794</t>
  </si>
  <si>
    <t xml:space="preserve">Avery Trapezoid Ring Binder, 3" Capacity, Black, 1040 sheets</t>
  </si>
  <si>
    <t xml:space="preserve">107</t>
  </si>
  <si>
    <t xml:space="preserve">CA-2017-119004</t>
  </si>
  <si>
    <t xml:space="preserve">23/11/17</t>
  </si>
  <si>
    <t xml:space="preserve">28/11/17</t>
  </si>
  <si>
    <t xml:space="preserve">JM-15250</t>
  </si>
  <si>
    <t xml:space="preserve">Janet Martin</t>
  </si>
  <si>
    <t xml:space="preserve">Charlotte</t>
  </si>
  <si>
    <t xml:space="preserve">28205</t>
  </si>
  <si>
    <t xml:space="preserve">TEC-AC-10003499</t>
  </si>
  <si>
    <t xml:space="preserve">Memorex Mini Travel Drive 8 GB USB 2.0 Flash Drive</t>
  </si>
  <si>
    <t xml:space="preserve">108</t>
  </si>
  <si>
    <t xml:space="preserve">TEC-PH-10002844</t>
  </si>
  <si>
    <t xml:space="preserve">Speck Products Candyshell Flip Case</t>
  </si>
  <si>
    <t xml:space="preserve">109</t>
  </si>
  <si>
    <t xml:space="preserve">OFF-AR-10000390</t>
  </si>
  <si>
    <t xml:space="preserve">Newell Chalk Holder</t>
  </si>
  <si>
    <t xml:space="preserve">110</t>
  </si>
  <si>
    <t xml:space="preserve">CA-2015-129476</t>
  </si>
  <si>
    <t xml:space="preserve">15/10/15</t>
  </si>
  <si>
    <t xml:space="preserve">20/10/15</t>
  </si>
  <si>
    <t xml:space="preserve">PA-19060</t>
  </si>
  <si>
    <t xml:space="preserve">Pete Armstrong</t>
  </si>
  <si>
    <t xml:space="preserve">Orland Park</t>
  </si>
  <si>
    <t xml:space="preserve">60462</t>
  </si>
  <si>
    <t xml:space="preserve">TEC-AC-10000844</t>
  </si>
  <si>
    <t xml:space="preserve">Logitech Gaming G510s - Keyboard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</si>
</sst>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General"/>
    <numFmt numFmtId="167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F7D79"/>
      <name val="Arial"/>
      <family val="0"/>
      <charset val="1"/>
    </font>
    <font>
      <b val="true"/>
      <sz val="10"/>
      <color rgb="FF134E4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34E4A"/>
      <name val="Arial"/>
      <family val="0"/>
      <charset val="1"/>
    </font>
    <font>
      <b val="true"/>
      <sz val="20"/>
      <color rgb="FF134E4A"/>
      <name val="Arial"/>
      <family val="0"/>
      <charset val="1"/>
    </font>
    <font>
      <b val="true"/>
      <sz val="10.5"/>
      <color rgb="FF134E4A"/>
      <name val="Arial"/>
      <family val="0"/>
      <charset val="1"/>
    </font>
    <font>
      <b val="true"/>
      <sz val="9.5"/>
      <color rgb="FF134E4A"/>
      <name val="Arial"/>
      <family val="0"/>
      <charset val="1"/>
    </font>
    <font>
      <sz val="9.5"/>
      <color rgb="FF134E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.5"/>
      <color rgb="FF134E4A"/>
      <name val="Arial"/>
      <family val="0"/>
      <charset val="1"/>
    </font>
    <font>
      <i val="true"/>
      <sz val="8"/>
      <color rgb="FF5F7D79"/>
      <name val="Arial"/>
      <family val="0"/>
      <charset val="1"/>
    </font>
    <font>
      <b val="true"/>
      <sz val="14"/>
      <color rgb="FF134E4A"/>
      <name val="Calibri"/>
      <family val="2"/>
    </font>
    <font>
      <sz val="9"/>
      <color rgb="FF134E4A"/>
      <name val="Calibri"/>
      <family val="2"/>
    </font>
    <font>
      <b val="true"/>
      <sz val="9.5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34E4A"/>
        <bgColor rgb="FF115E59"/>
      </patternFill>
    </fill>
    <fill>
      <patternFill patternType="solid">
        <fgColor rgb="FFF0FDFA"/>
        <bgColor rgb="FFEAFAF7"/>
      </patternFill>
    </fill>
    <fill>
      <patternFill patternType="solid">
        <fgColor rgb="FF0F766E"/>
        <bgColor rgb="FF115E59"/>
      </patternFill>
    </fill>
    <fill>
      <patternFill patternType="solid">
        <fgColor rgb="FF0D9488"/>
        <bgColor rgb="FF339966"/>
      </patternFill>
    </fill>
    <fill>
      <patternFill patternType="solid">
        <fgColor rgb="FF14B8A6"/>
        <bgColor rgb="FF2DD4BF"/>
      </patternFill>
    </fill>
    <fill>
      <patternFill patternType="solid">
        <fgColor rgb="FF2DD4BF"/>
        <bgColor rgb="FF14B8A6"/>
      </patternFill>
    </fill>
    <fill>
      <patternFill patternType="solid">
        <fgColor rgb="FFFFFFFF"/>
        <bgColor rgb="FFF0FDFA"/>
      </patternFill>
    </fill>
    <fill>
      <patternFill patternType="solid">
        <fgColor rgb="FF115E59"/>
        <bgColor rgb="FF134E4A"/>
      </patternFill>
    </fill>
    <fill>
      <patternFill patternType="solid">
        <fgColor rgb="FFEAFAF7"/>
        <bgColor rgb="FFF0FDFA"/>
      </patternFill>
    </fill>
    <fill>
      <patternFill patternType="solid">
        <fgColor rgb="FFCCFBF1"/>
        <bgColor rgb="FFD7E9E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 diagonalUp="false" diagonalDown="false">
      <left style="thin">
        <color rgb="FFD7E9E6"/>
      </left>
      <right style="thin">
        <color rgb="FFD7E9E6"/>
      </right>
      <top style="thin">
        <color rgb="FFD7E9E6"/>
      </top>
      <bottom style="medium">
        <color rgb="FF0F766E"/>
      </bottom>
      <diagonal/>
    </border>
    <border diagonalUp="false" diagonalDown="false">
      <left style="thin">
        <color rgb="FFD7E9E6"/>
      </left>
      <right style="thin">
        <color rgb="FFD7E9E6"/>
      </right>
      <top style="thin">
        <color rgb="FFD7E9E6"/>
      </top>
      <bottom style="medium">
        <color rgb="FF0D9488"/>
      </bottom>
      <diagonal/>
    </border>
    <border diagonalUp="false" diagonalDown="false">
      <left style="thin">
        <color rgb="FFD7E9E6"/>
      </left>
      <right style="thin">
        <color rgb="FFD7E9E6"/>
      </right>
      <top style="thin">
        <color rgb="FFD7E9E6"/>
      </top>
      <bottom style="medium">
        <color rgb="FF14B8A6"/>
      </bottom>
      <diagonal/>
    </border>
    <border diagonalUp="false" diagonalDown="false">
      <left style="thin">
        <color rgb="FFD7E9E6"/>
      </left>
      <right style="thin">
        <color rgb="FFD7E9E6"/>
      </right>
      <top style="thin">
        <color rgb="FFD7E9E6"/>
      </top>
      <bottom style="medium">
        <color rgb="FF2DD4BF"/>
      </bottom>
      <diagonal/>
    </border>
    <border diagonalUp="false" diagonalDown="false">
      <left/>
      <right/>
      <top/>
      <bottom style="medium">
        <color rgb="FF0F766E"/>
      </bottom>
      <diagonal/>
    </border>
    <border diagonalUp="false" diagonalDown="false">
      <left/>
      <right/>
      <top/>
      <bottom style="medium">
        <color rgb="FF0D9488"/>
      </bottom>
      <diagonal/>
    </border>
    <border diagonalUp="false" diagonalDown="false">
      <left/>
      <right/>
      <top/>
      <bottom style="medium">
        <color rgb="FF115E59"/>
      </bottom>
      <diagonal/>
    </border>
    <border diagonalUp="false" diagonalDown="false">
      <left/>
      <right/>
      <top/>
      <bottom style="medium">
        <color rgb="FF134E4A"/>
      </bottom>
      <diagonal/>
    </border>
    <border diagonalUp="false" diagonalDown="false">
      <left style="thin">
        <color rgb="FF115E59"/>
      </left>
      <right style="thin">
        <color rgb="FF115E59"/>
      </right>
      <top style="thin">
        <color rgb="FF115E59"/>
      </top>
      <bottom style="thin">
        <color rgb="FF115E59"/>
      </bottom>
      <diagonal/>
    </border>
    <border diagonalUp="false" diagonalDown="false">
      <left style="thin">
        <color rgb="FFD7E9E6"/>
      </left>
      <right style="thin">
        <color rgb="FFD7E9E6"/>
      </right>
      <top style="thin">
        <color rgb="FFD7E9E6"/>
      </top>
      <bottom style="thin">
        <color rgb="FFD7E9E6"/>
      </bottom>
      <diagonal/>
    </border>
    <border diagonalUp="false" diagonalDown="false">
      <left style="thick">
        <color rgb="FF0F766E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1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5E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8FB3AE"/>
      <rgbColor rgb="FF5F7D79"/>
      <rgbColor rgb="FF9999FF"/>
      <rgbColor rgb="FF993366"/>
      <rgbColor rgb="FFF0FDFA"/>
      <rgbColor rgb="FFCCFBF1"/>
      <rgbColor rgb="FF660066"/>
      <rgbColor rgb="FFFF8080"/>
      <rgbColor rgb="FF115E59"/>
      <rgbColor rgb="FFCCCCFF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14B8A6"/>
      <rgbColor rgb="FFEAFAF7"/>
      <rgbColor rgb="FFD7E9E6"/>
      <rgbColor rgb="FFFFFF99"/>
      <rgbColor rgb="FF99CCFF"/>
      <rgbColor rgb="FFFF99CC"/>
      <rgbColor rgb="FFCC99FF"/>
      <rgbColor rgb="FFFFCC99"/>
      <rgbColor rgb="FF2E86C1"/>
      <rgbColor rgb="FF2DD4BF"/>
      <rgbColor rgb="FF99CC00"/>
      <rgbColor rgb="FFFFCC00"/>
      <rgbColor rgb="FFFF9900"/>
      <rgbColor rgb="FFFF6600"/>
      <rgbColor rgb="FF666699"/>
      <rgbColor rgb="FF8A94A6"/>
      <rgbColor rgb="FF134E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34e4a"/>
                </a:solidFill>
                <a:latin typeface="Calibri"/>
              </a:defRPr>
            </a:pPr>
            <a:r>
              <a:rPr b="1" sz="1400" spc="-1" strike="noStrike">
                <a:solidFill>
                  <a:srgbClr val="134e4a"/>
                </a:solidFill>
                <a:latin typeface="Calibri"/>
              </a:rPr>
              <a:t>Sales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Dashboard!B14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34e4a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34e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f766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4b8a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34e4a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11186.1397</c:v>
                </c:pt>
                <c:pt idx="1">
                  <c:v>5299.888</c:v>
                </c:pt>
                <c:pt idx="2">
                  <c:v>5963.694</c:v>
                </c:pt>
              </c:numCache>
            </c:numRef>
          </c:val>
        </c:ser>
        <c:gapWidth val="150"/>
        <c:overlap val="0"/>
        <c:axId val="95746716"/>
        <c:axId val="67890328"/>
      </c:barChart>
      <c:catAx>
        <c:axId val="95746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67890328"/>
        <c:crosses val="autoZero"/>
        <c:auto val="1"/>
        <c:lblAlgn val="ctr"/>
        <c:lblOffset val="100"/>
        <c:noMultiLvlLbl val="0"/>
      </c:catAx>
      <c:valAx>
        <c:axId val="67890328"/>
        <c:scaling>
          <c:orientation val="minMax"/>
        </c:scaling>
        <c:delete val="0"/>
        <c:axPos val="l"/>
        <c:majorGridlines>
          <c:spPr>
            <a:ln w="9360">
              <a:solidFill>
                <a:srgbClr val="8fb3ae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95746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7e9e6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34e4a"/>
                </a:solidFill>
                <a:latin typeface="Calibri"/>
              </a:defRPr>
            </a:pPr>
            <a:r>
              <a:rPr b="1" sz="1400" spc="-1" strike="noStrike">
                <a:solidFill>
                  <a:srgbClr val="134e4a"/>
                </a:solidFill>
                <a:latin typeface="Calibri"/>
              </a:rPr>
              <a:t>Sales per Wilayah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Dashboard!E14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34e4a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134e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f766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d948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dd4bf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34e4a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Dashboard!$E$15:$E$18</c:f>
              <c:numCache>
                <c:formatCode>General</c:formatCode>
                <c:ptCount val="4"/>
                <c:pt idx="0">
                  <c:v>5404.0042</c:v>
                </c:pt>
                <c:pt idx="1">
                  <c:v>5269.052</c:v>
                </c:pt>
                <c:pt idx="2">
                  <c:v>3995.9055</c:v>
                </c:pt>
                <c:pt idx="3">
                  <c:v>7780.76</c:v>
                </c:pt>
              </c:numCache>
            </c:numRef>
          </c:val>
        </c:ser>
        <c:gapWidth val="150"/>
        <c:overlap val="0"/>
        <c:axId val="21887563"/>
        <c:axId val="20882683"/>
      </c:barChart>
      <c:catAx>
        <c:axId val="218875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20882683"/>
        <c:crosses val="autoZero"/>
        <c:auto val="1"/>
        <c:lblAlgn val="ctr"/>
        <c:lblOffset val="100"/>
        <c:noMultiLvlLbl val="0"/>
      </c:catAx>
      <c:valAx>
        <c:axId val="20882683"/>
        <c:scaling>
          <c:orientation val="minMax"/>
        </c:scaling>
        <c:delete val="0"/>
        <c:axPos val="l"/>
        <c:majorGridlines>
          <c:spPr>
            <a:ln w="9360">
              <a:solidFill>
                <a:srgbClr val="8fb3ae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21887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7e9e6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34e4a"/>
                </a:solidFill>
                <a:latin typeface="Calibri"/>
              </a:defRPr>
            </a:pPr>
            <a:r>
              <a:rPr b="1" sz="1400" spc="-1" strike="noStrike">
                <a:solidFill>
                  <a:srgbClr val="134e4a"/>
                </a:solidFill>
                <a:latin typeface="Calibri"/>
              </a:rPr>
              <a:t>Trend Sales per Tahun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f766e"/>
            </a:solidFill>
            <a:ln w="28080">
              <a:solidFill>
                <a:srgbClr val="0f766e"/>
              </a:solidFill>
              <a:round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Dashboard!$G$15:$G$18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Dashboard!$H$15:$H$18</c:f>
              <c:numCache>
                <c:formatCode>General</c:formatCode>
                <c:ptCount val="4"/>
                <c:pt idx="0">
                  <c:v>6228.986</c:v>
                </c:pt>
                <c:pt idx="1">
                  <c:v>9363.3777</c:v>
                </c:pt>
                <c:pt idx="2">
                  <c:v>5623.514</c:v>
                </c:pt>
                <c:pt idx="3">
                  <c:v>1233.844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072884"/>
        <c:axId val="24912085"/>
      </c:lineChart>
      <c:catAx>
        <c:axId val="57072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24912085"/>
        <c:crosses val="autoZero"/>
        <c:auto val="1"/>
        <c:lblAlgn val="ctr"/>
        <c:lblOffset val="100"/>
        <c:noMultiLvlLbl val="0"/>
      </c:catAx>
      <c:valAx>
        <c:axId val="24912085"/>
        <c:scaling>
          <c:orientation val="minMax"/>
        </c:scaling>
        <c:delete val="0"/>
        <c:axPos val="l"/>
        <c:majorGridlines>
          <c:spPr>
            <a:ln w="9360">
              <a:solidFill>
                <a:srgbClr val="8fb3ae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fb3ae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34e4a"/>
                </a:solidFill>
                <a:latin typeface="Calibri"/>
              </a:defRPr>
            </a:pPr>
          </a:p>
        </c:txPr>
        <c:crossAx val="57072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7e9e6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34e4a"/>
                </a:solidFill>
                <a:latin typeface="Calibri"/>
              </a:defRPr>
            </a:pPr>
            <a:r>
              <a:rPr b="1" sz="1400" spc="-1" strike="noStrike">
                <a:solidFill>
                  <a:srgbClr val="134e4a"/>
                </a:solidFill>
                <a:latin typeface="Calibri"/>
              </a:rPr>
              <a:t>Sales per Segmen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Dashboard!K14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34e4a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34e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f766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4b8a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34e4a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34e4a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Dashboard!$J$15:$J$17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Dashboard!$K$15:$K$17</c:f>
              <c:numCache>
                <c:formatCode>General</c:formatCode>
                <c:ptCount val="3"/>
                <c:pt idx="0">
                  <c:v>15178.2095</c:v>
                </c:pt>
                <c:pt idx="1">
                  <c:v>4735.314</c:v>
                </c:pt>
                <c:pt idx="2">
                  <c:v>2536.1982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34e4a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7e9e6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7</xdr:col>
      <xdr:colOff>816480</xdr:colOff>
      <xdr:row>36</xdr:row>
      <xdr:rowOff>9720</xdr:rowOff>
    </xdr:to>
    <xdr:graphicFrame>
      <xdr:nvGraphicFramePr>
        <xdr:cNvPr id="0" name="Chart 1"/>
        <xdr:cNvGraphicFramePr/>
      </xdr:nvGraphicFramePr>
      <xdr:xfrm>
        <a:off x="0" y="4219560"/>
        <a:ext cx="708948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13</xdr:col>
      <xdr:colOff>416160</xdr:colOff>
      <xdr:row>36</xdr:row>
      <xdr:rowOff>9720</xdr:rowOff>
    </xdr:to>
    <xdr:graphicFrame>
      <xdr:nvGraphicFramePr>
        <xdr:cNvPr id="1" name="Chart 2"/>
        <xdr:cNvGraphicFramePr/>
      </xdr:nvGraphicFramePr>
      <xdr:xfrm>
        <a:off x="5638680" y="4219560"/>
        <a:ext cx="645516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7</xdr:col>
      <xdr:colOff>816480</xdr:colOff>
      <xdr:row>52</xdr:row>
      <xdr:rowOff>10080</xdr:rowOff>
    </xdr:to>
    <xdr:graphicFrame>
      <xdr:nvGraphicFramePr>
        <xdr:cNvPr id="2" name="Chart 3"/>
        <xdr:cNvGraphicFramePr/>
      </xdr:nvGraphicFramePr>
      <xdr:xfrm>
        <a:off x="0" y="7267680"/>
        <a:ext cx="708948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13</xdr:col>
      <xdr:colOff>416160</xdr:colOff>
      <xdr:row>52</xdr:row>
      <xdr:rowOff>10080</xdr:rowOff>
    </xdr:to>
    <xdr:graphicFrame>
      <xdr:nvGraphicFramePr>
        <xdr:cNvPr id="3" name="Chart 4"/>
        <xdr:cNvGraphicFramePr/>
      </xdr:nvGraphicFramePr>
      <xdr:xfrm>
        <a:off x="5638680" y="7267680"/>
        <a:ext cx="645516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Superstore" displayName="TabelSuperstore" ref="A1:V111" headerRowCount="1" totalsRowCount="0" totalsRowShown="0">
  <autoFilter ref="A1:V111"/>
  <tableColumns count="22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L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4"/>
    <col collapsed="false" customWidth="true" hidden="false" outlineLevel="0" max="4" min="4" style="1" width="11"/>
    <col collapsed="false" customWidth="true" hidden="false" outlineLevel="0" max="6" min="5" style="1" width="14"/>
    <col collapsed="false" customWidth="true" hidden="false" outlineLevel="0" max="7" min="7" style="1" width="9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2" min="11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true" outlineLevel="0" collapsed="false">
      <c r="A5" s="5" t="s">
        <v>2</v>
      </c>
      <c r="B5" s="5"/>
      <c r="C5" s="5"/>
      <c r="D5" s="6" t="s">
        <v>3</v>
      </c>
      <c r="E5" s="6"/>
      <c r="F5" s="6"/>
      <c r="G5" s="4"/>
      <c r="H5" s="4"/>
      <c r="I5" s="4"/>
      <c r="J5" s="4"/>
      <c r="K5" s="4"/>
      <c r="L5" s="4"/>
    </row>
    <row r="6" customFormat="false" ht="19.5" hidden="false" customHeight="true" outlineLevel="0" collapsed="false">
      <c r="A6" s="4"/>
      <c r="B6" s="4"/>
      <c r="C6" s="4"/>
      <c r="D6" s="6"/>
      <c r="E6" s="6"/>
      <c r="F6" s="6"/>
      <c r="G6" s="4"/>
      <c r="H6" s="4"/>
      <c r="I6" s="4"/>
      <c r="J6" s="4"/>
      <c r="K6" s="4"/>
      <c r="L6" s="4"/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9.5" hidden="false" customHeight="true" outlineLevel="0" collapsed="false">
      <c r="A8" s="7" t="s">
        <v>4</v>
      </c>
      <c r="B8" s="7"/>
      <c r="C8" s="7"/>
      <c r="D8" s="8" t="s">
        <v>5</v>
      </c>
      <c r="E8" s="8"/>
      <c r="F8" s="8"/>
      <c r="G8" s="9" t="s">
        <v>6</v>
      </c>
      <c r="H8" s="9"/>
      <c r="I8" s="9"/>
      <c r="J8" s="10" t="s">
        <v>7</v>
      </c>
      <c r="K8" s="10"/>
      <c r="L8" s="10"/>
    </row>
    <row r="9" customFormat="false" ht="19.5" hidden="false" customHeight="true" outlineLevel="0" collapsed="false">
      <c r="A9" s="11" t="n">
        <f aca="false">IF($D$5="All",SUM(Data!$R$2:$R$111),SUMIF(Data!$M$2:$M$111,$D$5,Data!$R$2:$R$111))</f>
        <v>22449.7217</v>
      </c>
      <c r="B9" s="11"/>
      <c r="C9" s="11"/>
      <c r="D9" s="12" t="n">
        <f aca="false">IF($D$5="All",SUM(Data!$U$2:$U$111),SUMIF(Data!$M$2:$M$111,$D$5,Data!$U$2:$U$111))</f>
        <v>-71.7717000000001</v>
      </c>
      <c r="E9" s="12"/>
      <c r="F9" s="12"/>
      <c r="G9" s="13" t="n">
        <f aca="false">IF($D$5="All",COUNTA(Data!$B$2:$B$111),COUNTIF(Data!$M$2:$M$111,$D$5))</f>
        <v>110</v>
      </c>
      <c r="H9" s="13"/>
      <c r="I9" s="13"/>
      <c r="J9" s="14" t="n">
        <f aca="false">IF($D$5="All",SUM(Data!$S$2:$S$111),SUMIF(Data!$M$2:$M$111,$D$5,Data!$S$2:$S$111))</f>
        <v>411</v>
      </c>
      <c r="K9" s="14"/>
      <c r="L9" s="14"/>
    </row>
    <row r="10" customFormat="false" ht="19.5" hidden="false" customHeight="true" outlineLevel="0" collapsed="false">
      <c r="A10" s="11"/>
      <c r="B10" s="11"/>
      <c r="C10" s="11"/>
      <c r="D10" s="12"/>
      <c r="E10" s="12"/>
      <c r="F10" s="12"/>
      <c r="G10" s="13"/>
      <c r="H10" s="13"/>
      <c r="I10" s="13"/>
      <c r="J10" s="14"/>
      <c r="K10" s="14"/>
      <c r="L10" s="14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A13" s="15" t="s">
        <v>8</v>
      </c>
      <c r="B13" s="15"/>
      <c r="C13" s="15"/>
      <c r="D13" s="16" t="s">
        <v>9</v>
      </c>
      <c r="E13" s="16"/>
      <c r="F13" s="16"/>
      <c r="G13" s="17" t="s">
        <v>10</v>
      </c>
      <c r="H13" s="17"/>
      <c r="I13" s="17"/>
      <c r="J13" s="18" t="s">
        <v>11</v>
      </c>
      <c r="K13" s="18"/>
      <c r="L13" s="18"/>
    </row>
    <row r="14" customFormat="false" ht="15" hidden="false" customHeight="true" outlineLevel="0" collapsed="false">
      <c r="A14" s="19" t="s">
        <v>12</v>
      </c>
      <c r="B14" s="19" t="s">
        <v>13</v>
      </c>
      <c r="C14" s="4"/>
      <c r="D14" s="19" t="s">
        <v>12</v>
      </c>
      <c r="E14" s="19" t="s">
        <v>13</v>
      </c>
      <c r="F14" s="4"/>
      <c r="G14" s="19" t="s">
        <v>12</v>
      </c>
      <c r="H14" s="19" t="s">
        <v>13</v>
      </c>
      <c r="I14" s="4"/>
      <c r="J14" s="19" t="s">
        <v>12</v>
      </c>
      <c r="K14" s="19" t="s">
        <v>13</v>
      </c>
      <c r="L14" s="4"/>
    </row>
    <row r="15" customFormat="false" ht="15" hidden="false" customHeight="true" outlineLevel="0" collapsed="false">
      <c r="A15" s="20" t="s">
        <v>14</v>
      </c>
      <c r="B15" s="21" t="n">
        <f aca="false">IF($D$5="All",SUMIF(Data!$O$2:$O$111,A15,Data!$R$2:$R$111),SUMIFS(Data!$R$2:$R$111,Data!$O$2:$O$111,A15,Data!$M$2:$M$111,$D$5))</f>
        <v>11186.1397</v>
      </c>
      <c r="C15" s="4"/>
      <c r="D15" s="20" t="s">
        <v>15</v>
      </c>
      <c r="E15" s="21" t="n">
        <f aca="false">SUMIF(Data!$M$2:$M$111,D15,Data!$R$2:$R$111)</f>
        <v>5404.0042</v>
      </c>
      <c r="F15" s="4"/>
      <c r="G15" s="20" t="s">
        <v>16</v>
      </c>
      <c r="H15" s="21" t="n">
        <f aca="false">IF($D$5="All",SUMIF(Data!$V$2:$V$111,G15,Data!$R$2:$R$111),SUMIFS(Data!$R$2:$R$111,Data!$V$2:$V$111,G15,Data!$M$2:$M$111,$D$5))</f>
        <v>6228.986</v>
      </c>
      <c r="I15" s="4"/>
      <c r="J15" s="20" t="s">
        <v>17</v>
      </c>
      <c r="K15" s="21" t="n">
        <f aca="false">IF($D$5="All",SUMIF(Data!$H$2:$H$111,J15,Data!$R$2:$R$111),SUMIFS(Data!$R$2:$R$111,Data!$H$2:$H$111,J15,Data!$M$2:$M$111,$D$5))</f>
        <v>15178.2095</v>
      </c>
      <c r="L15" s="4"/>
    </row>
    <row r="16" customFormat="false" ht="15" hidden="false" customHeight="true" outlineLevel="0" collapsed="false">
      <c r="A16" s="22" t="s">
        <v>18</v>
      </c>
      <c r="B16" s="23" t="n">
        <f aca="false">IF($D$5="All",SUMIF(Data!$O$2:$O$111,A16,Data!$R$2:$R$111),SUMIFS(Data!$R$2:$R$111,Data!$O$2:$O$111,A16,Data!$M$2:$M$111,$D$5))</f>
        <v>5299.888</v>
      </c>
      <c r="C16" s="4"/>
      <c r="D16" s="22" t="s">
        <v>19</v>
      </c>
      <c r="E16" s="23" t="n">
        <f aca="false">SUMIF(Data!$M$2:$M$111,D16,Data!$R$2:$R$111)</f>
        <v>5269.052</v>
      </c>
      <c r="F16" s="4"/>
      <c r="G16" s="22" t="s">
        <v>20</v>
      </c>
      <c r="H16" s="23" t="n">
        <f aca="false">IF($D$5="All",SUMIF(Data!$V$2:$V$111,G16,Data!$R$2:$R$111),SUMIFS(Data!$R$2:$R$111,Data!$V$2:$V$111,G16,Data!$M$2:$M$111,$D$5))</f>
        <v>9363.3777</v>
      </c>
      <c r="I16" s="4"/>
      <c r="J16" s="22" t="s">
        <v>21</v>
      </c>
      <c r="K16" s="23" t="n">
        <f aca="false">IF($D$5="All",SUMIF(Data!$H$2:$H$111,J16,Data!$R$2:$R$111),SUMIFS(Data!$R$2:$R$111,Data!$H$2:$H$111,J16,Data!$M$2:$M$111,$D$5))</f>
        <v>4735.314</v>
      </c>
      <c r="L16" s="4"/>
    </row>
    <row r="17" customFormat="false" ht="15" hidden="false" customHeight="true" outlineLevel="0" collapsed="false">
      <c r="A17" s="20" t="s">
        <v>22</v>
      </c>
      <c r="B17" s="21" t="n">
        <f aca="false">IF($D$5="All",SUMIF(Data!$O$2:$O$111,A17,Data!$R$2:$R$111),SUMIFS(Data!$R$2:$R$111,Data!$O$2:$O$111,A17,Data!$M$2:$M$111,$D$5))</f>
        <v>5963.694</v>
      </c>
      <c r="C17" s="4"/>
      <c r="D17" s="20" t="s">
        <v>23</v>
      </c>
      <c r="E17" s="21" t="n">
        <f aca="false">SUMIF(Data!$M$2:$M$111,D17,Data!$R$2:$R$111)</f>
        <v>3995.9055</v>
      </c>
      <c r="F17" s="4"/>
      <c r="G17" s="20" t="s">
        <v>24</v>
      </c>
      <c r="H17" s="21" t="n">
        <f aca="false">IF($D$5="All",SUMIF(Data!$V$2:$V$111,G17,Data!$R$2:$R$111),SUMIFS(Data!$R$2:$R$111,Data!$V$2:$V$111,G17,Data!$M$2:$M$111,$D$5))</f>
        <v>5623.514</v>
      </c>
      <c r="I17" s="4"/>
      <c r="J17" s="20" t="s">
        <v>25</v>
      </c>
      <c r="K17" s="21" t="n">
        <f aca="false">IF($D$5="All",SUMIF(Data!$H$2:$H$111,J17,Data!$R$2:$R$111),SUMIFS(Data!$R$2:$R$111,Data!$H$2:$H$111,J17,Data!$M$2:$M$111,$D$5))</f>
        <v>2536.1982</v>
      </c>
      <c r="L17" s="4"/>
    </row>
    <row r="18" customFormat="false" ht="15" hidden="false" customHeight="true" outlineLevel="0" collapsed="false">
      <c r="A18" s="4"/>
      <c r="B18" s="4"/>
      <c r="C18" s="4"/>
      <c r="D18" s="22" t="s">
        <v>26</v>
      </c>
      <c r="E18" s="23" t="n">
        <f aca="false">SUMIF(Data!$M$2:$M$111,D18,Data!$R$2:$R$111)</f>
        <v>7780.76</v>
      </c>
      <c r="F18" s="4"/>
      <c r="G18" s="22" t="s">
        <v>27</v>
      </c>
      <c r="H18" s="23" t="n">
        <f aca="false">IF($D$5="All",SUMIF(Data!$V$2:$V$111,G18,Data!$R$2:$R$111),SUMIFS(Data!$R$2:$R$111,Data!$V$2:$V$111,G18,Data!$M$2:$M$111,$D$5))</f>
        <v>1233.844</v>
      </c>
      <c r="I18" s="4"/>
      <c r="J18" s="4"/>
      <c r="K18" s="4"/>
      <c r="L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9.5" hidden="false" customHeight="true" outlineLevel="0" collapsed="false">
      <c r="A53" s="24" t="s">
        <v>28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5" t="str">
        <f aca="false">"Wilayah dengan Sales tertinggi: "&amp;INDEX(D15:D18,MATCH(MAX(E15:E18),E15:E18,0))&amp;"  |  Kategori terlaris: "&amp;INDEX(A15:A17,MATCH(MAX(B15:B17),B15:B17,0))&amp;"  |  Tahun dengan penjualan tertinggi: "&amp;INDEX(G15:G18,MATCH(MAX(H15:H18),H15:H18,0))</f>
        <v>Wilayah dengan Sales tertinggi: West  |  Kategori terlaris: Furniture  |  Tahun dengan penjualan tertinggi: 2015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" hidden="false" customHeight="true" outlineLevel="0" collapsed="false">
      <c r="A56" s="26" t="s">
        <v>29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</sheetData>
  <mergeCells count="19">
    <mergeCell ref="A1:L2"/>
    <mergeCell ref="A3:L3"/>
    <mergeCell ref="A5:C5"/>
    <mergeCell ref="D5:F6"/>
    <mergeCell ref="A8:C8"/>
    <mergeCell ref="D8:F8"/>
    <mergeCell ref="G8:I8"/>
    <mergeCell ref="J8:L8"/>
    <mergeCell ref="A9:C10"/>
    <mergeCell ref="D9:F10"/>
    <mergeCell ref="G9:I10"/>
    <mergeCell ref="J9:L10"/>
    <mergeCell ref="A13:C13"/>
    <mergeCell ref="D13:F13"/>
    <mergeCell ref="G13:I13"/>
    <mergeCell ref="J13:L13"/>
    <mergeCell ref="A53:L53"/>
    <mergeCell ref="A54:L55"/>
    <mergeCell ref="A56:L56"/>
  </mergeCells>
  <dataValidations count="1">
    <dataValidation allowBlank="false" errorStyle="stop" operator="between" prompt="Pilih wilayah untuk memfilter seluruh dashboard" showDropDown="false" showErrorMessage="false" showInputMessage="false" sqref="D5" type="list">
      <formula1>"All,Central,East,South,West"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7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3" min="13" style="1" width="10"/>
    <col collapsed="false" customWidth="true" hidden="false" outlineLevel="0" max="15" min="14" style="1" width="17"/>
    <col collapsed="false" customWidth="true" hidden="false" outlineLevel="0" max="16" min="16" style="1" width="14"/>
    <col collapsed="false" customWidth="true" hidden="false" outlineLevel="0" max="17" min="17" style="1" width="38"/>
    <col collapsed="false" customWidth="true" hidden="false" outlineLevel="0" max="20" min="18" style="1" width="10"/>
    <col collapsed="false" customWidth="true" hidden="false" outlineLevel="0" max="21" min="21" style="1" width="12"/>
    <col collapsed="false" customWidth="true" hidden="false" outlineLevel="0" max="22" min="22" style="1" width="10"/>
  </cols>
  <sheetData>
    <row r="1" customFormat="false" ht="15" hidden="false" customHeight="true" outlineLevel="0" collapsed="false">
      <c r="A1" s="27" t="s">
        <v>30</v>
      </c>
      <c r="B1" s="27" t="s">
        <v>31</v>
      </c>
      <c r="C1" s="27" t="s">
        <v>32</v>
      </c>
      <c r="D1" s="27" t="s">
        <v>33</v>
      </c>
      <c r="E1" s="27" t="s">
        <v>34</v>
      </c>
      <c r="F1" s="27" t="s">
        <v>35</v>
      </c>
      <c r="G1" s="27" t="s">
        <v>36</v>
      </c>
      <c r="H1" s="27" t="s">
        <v>37</v>
      </c>
      <c r="I1" s="27" t="s">
        <v>38</v>
      </c>
      <c r="J1" s="27" t="s">
        <v>39</v>
      </c>
      <c r="K1" s="27" t="s">
        <v>40</v>
      </c>
      <c r="L1" s="27" t="s">
        <v>41</v>
      </c>
      <c r="M1" s="27" t="s">
        <v>42</v>
      </c>
      <c r="N1" s="27" t="s">
        <v>43</v>
      </c>
      <c r="O1" s="27" t="s">
        <v>44</v>
      </c>
      <c r="P1" s="27" t="s">
        <v>45</v>
      </c>
      <c r="Q1" s="27" t="s">
        <v>46</v>
      </c>
      <c r="R1" s="27" t="s">
        <v>13</v>
      </c>
      <c r="S1" s="27" t="s">
        <v>47</v>
      </c>
      <c r="T1" s="27" t="s">
        <v>48</v>
      </c>
      <c r="U1" s="27" t="s">
        <v>49</v>
      </c>
      <c r="V1" s="27" t="s">
        <v>50</v>
      </c>
    </row>
    <row r="2" customFormat="false" ht="15" hidden="false" customHeight="true" outlineLevel="0" collapsed="fals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17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23</v>
      </c>
      <c r="N2" s="1" t="s">
        <v>62</v>
      </c>
      <c r="O2" s="1" t="s">
        <v>14</v>
      </c>
      <c r="P2" s="1" t="s">
        <v>63</v>
      </c>
      <c r="Q2" s="1" t="s">
        <v>64</v>
      </c>
      <c r="R2" s="28" t="n">
        <v>261.96</v>
      </c>
      <c r="S2" s="28" t="n">
        <v>2</v>
      </c>
      <c r="T2" s="28" t="n">
        <v>0</v>
      </c>
      <c r="U2" s="28" t="n">
        <v>41.9136</v>
      </c>
      <c r="V2" s="1" t="s">
        <v>24</v>
      </c>
    </row>
    <row r="3" customFormat="false" ht="15" hidden="false" customHeight="true" outlineLevel="0" collapsed="false">
      <c r="A3" s="1" t="s">
        <v>65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17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23</v>
      </c>
      <c r="N3" s="1" t="s">
        <v>66</v>
      </c>
      <c r="O3" s="1" t="s">
        <v>14</v>
      </c>
      <c r="P3" s="1" t="s">
        <v>67</v>
      </c>
      <c r="Q3" s="1" t="s">
        <v>68</v>
      </c>
      <c r="R3" s="28" t="n">
        <v>731.94</v>
      </c>
      <c r="S3" s="28" t="n">
        <v>3</v>
      </c>
      <c r="T3" s="28" t="n">
        <v>0</v>
      </c>
      <c r="U3" s="28" t="n">
        <v>219.582</v>
      </c>
      <c r="V3" s="1" t="s">
        <v>24</v>
      </c>
    </row>
    <row r="4" customFormat="false" ht="15" hidden="false" customHeight="true" outlineLevel="0" collapsed="false">
      <c r="A4" s="1" t="s">
        <v>69</v>
      </c>
      <c r="B4" s="1" t="s">
        <v>70</v>
      </c>
      <c r="C4" s="1" t="s">
        <v>71</v>
      </c>
      <c r="D4" s="1" t="s">
        <v>72</v>
      </c>
      <c r="E4" s="1" t="s">
        <v>55</v>
      </c>
      <c r="F4" s="1" t="s">
        <v>73</v>
      </c>
      <c r="G4" s="1" t="s">
        <v>74</v>
      </c>
      <c r="H4" s="1" t="s">
        <v>21</v>
      </c>
      <c r="I4" s="1" t="s">
        <v>58</v>
      </c>
      <c r="J4" s="1" t="s">
        <v>75</v>
      </c>
      <c r="K4" s="1" t="s">
        <v>76</v>
      </c>
      <c r="L4" s="1" t="s">
        <v>77</v>
      </c>
      <c r="M4" s="1" t="s">
        <v>26</v>
      </c>
      <c r="N4" s="1" t="s">
        <v>78</v>
      </c>
      <c r="O4" s="1" t="s">
        <v>18</v>
      </c>
      <c r="P4" s="1" t="s">
        <v>79</v>
      </c>
      <c r="Q4" s="1" t="s">
        <v>80</v>
      </c>
      <c r="R4" s="28" t="n">
        <v>14.62</v>
      </c>
      <c r="S4" s="28" t="n">
        <v>2</v>
      </c>
      <c r="T4" s="28" t="n">
        <v>0</v>
      </c>
      <c r="U4" s="28" t="n">
        <v>6.8714</v>
      </c>
      <c r="V4" s="1" t="s">
        <v>24</v>
      </c>
    </row>
    <row r="5" customFormat="false" ht="15" hidden="false" customHeight="true" outlineLevel="0" collapsed="false">
      <c r="A5" s="1" t="s">
        <v>81</v>
      </c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17</v>
      </c>
      <c r="I5" s="1" t="s">
        <v>58</v>
      </c>
      <c r="J5" s="1" t="s">
        <v>88</v>
      </c>
      <c r="K5" s="1" t="s">
        <v>89</v>
      </c>
      <c r="L5" s="1" t="s">
        <v>90</v>
      </c>
      <c r="M5" s="1" t="s">
        <v>23</v>
      </c>
      <c r="N5" s="1" t="s">
        <v>91</v>
      </c>
      <c r="O5" s="1" t="s">
        <v>14</v>
      </c>
      <c r="P5" s="1" t="s">
        <v>92</v>
      </c>
      <c r="Q5" s="1" t="s">
        <v>93</v>
      </c>
      <c r="R5" s="28" t="n">
        <v>957.5775</v>
      </c>
      <c r="S5" s="28" t="n">
        <v>5</v>
      </c>
      <c r="T5" s="28" t="n">
        <v>0.45</v>
      </c>
      <c r="U5" s="28" t="n">
        <v>-383.031</v>
      </c>
      <c r="V5" s="1" t="s">
        <v>20</v>
      </c>
    </row>
    <row r="6" customFormat="false" ht="15" hidden="false" customHeight="true" outlineLevel="0" collapsed="false">
      <c r="A6" s="1" t="s">
        <v>94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17</v>
      </c>
      <c r="I6" s="1" t="s">
        <v>58</v>
      </c>
      <c r="J6" s="1" t="s">
        <v>88</v>
      </c>
      <c r="K6" s="1" t="s">
        <v>89</v>
      </c>
      <c r="L6" s="1" t="s">
        <v>90</v>
      </c>
      <c r="M6" s="1" t="s">
        <v>23</v>
      </c>
      <c r="N6" s="1" t="s">
        <v>95</v>
      </c>
      <c r="O6" s="1" t="s">
        <v>18</v>
      </c>
      <c r="P6" s="1" t="s">
        <v>96</v>
      </c>
      <c r="Q6" s="1" t="s">
        <v>97</v>
      </c>
      <c r="R6" s="28" t="n">
        <v>22.368</v>
      </c>
      <c r="S6" s="28" t="n">
        <v>2</v>
      </c>
      <c r="T6" s="28" t="n">
        <v>0.2</v>
      </c>
      <c r="U6" s="28" t="n">
        <v>2.5164</v>
      </c>
      <c r="V6" s="1" t="s">
        <v>20</v>
      </c>
    </row>
    <row r="7" customFormat="false" ht="15" hidden="false" customHeight="true" outlineLevel="0" collapsed="false">
      <c r="A7" s="1" t="s">
        <v>98</v>
      </c>
      <c r="B7" s="1" t="s">
        <v>99</v>
      </c>
      <c r="C7" s="1" t="s">
        <v>100</v>
      </c>
      <c r="D7" s="1" t="s">
        <v>101</v>
      </c>
      <c r="E7" s="1" t="s">
        <v>85</v>
      </c>
      <c r="F7" s="1" t="s">
        <v>102</v>
      </c>
      <c r="G7" s="1" t="s">
        <v>103</v>
      </c>
      <c r="H7" s="1" t="s">
        <v>17</v>
      </c>
      <c r="I7" s="1" t="s">
        <v>58</v>
      </c>
      <c r="J7" s="1" t="s">
        <v>75</v>
      </c>
      <c r="K7" s="1" t="s">
        <v>76</v>
      </c>
      <c r="L7" s="1" t="s">
        <v>104</v>
      </c>
      <c r="M7" s="1" t="s">
        <v>26</v>
      </c>
      <c r="N7" s="1" t="s">
        <v>105</v>
      </c>
      <c r="O7" s="1" t="s">
        <v>14</v>
      </c>
      <c r="P7" s="1" t="s">
        <v>106</v>
      </c>
      <c r="Q7" s="1" t="s">
        <v>107</v>
      </c>
      <c r="R7" s="28" t="n">
        <v>48.86</v>
      </c>
      <c r="S7" s="28" t="n">
        <v>7</v>
      </c>
      <c r="T7" s="28" t="n">
        <v>0</v>
      </c>
      <c r="U7" s="28" t="n">
        <v>14.1694</v>
      </c>
      <c r="V7" s="1" t="s">
        <v>16</v>
      </c>
    </row>
    <row r="8" customFormat="false" ht="15" hidden="false" customHeight="true" outlineLevel="0" collapsed="false">
      <c r="A8" s="1" t="s">
        <v>108</v>
      </c>
      <c r="B8" s="1" t="s">
        <v>99</v>
      </c>
      <c r="C8" s="1" t="s">
        <v>100</v>
      </c>
      <c r="D8" s="1" t="s">
        <v>101</v>
      </c>
      <c r="E8" s="1" t="s">
        <v>85</v>
      </c>
      <c r="F8" s="1" t="s">
        <v>102</v>
      </c>
      <c r="G8" s="1" t="s">
        <v>103</v>
      </c>
      <c r="H8" s="1" t="s">
        <v>17</v>
      </c>
      <c r="I8" s="1" t="s">
        <v>58</v>
      </c>
      <c r="J8" s="1" t="s">
        <v>75</v>
      </c>
      <c r="K8" s="1" t="s">
        <v>76</v>
      </c>
      <c r="L8" s="1" t="s">
        <v>104</v>
      </c>
      <c r="M8" s="1" t="s">
        <v>26</v>
      </c>
      <c r="N8" s="1" t="s">
        <v>109</v>
      </c>
      <c r="O8" s="1" t="s">
        <v>18</v>
      </c>
      <c r="P8" s="1" t="s">
        <v>110</v>
      </c>
      <c r="Q8" s="1" t="s">
        <v>111</v>
      </c>
      <c r="R8" s="28" t="n">
        <v>7.28</v>
      </c>
      <c r="S8" s="28" t="n">
        <v>4</v>
      </c>
      <c r="T8" s="28" t="n">
        <v>0</v>
      </c>
      <c r="U8" s="28" t="n">
        <v>1.9656</v>
      </c>
      <c r="V8" s="1" t="s">
        <v>16</v>
      </c>
    </row>
    <row r="9" customFormat="false" ht="15" hidden="false" customHeight="true" outlineLevel="0" collapsed="false">
      <c r="A9" s="1" t="s">
        <v>112</v>
      </c>
      <c r="B9" s="1" t="s">
        <v>99</v>
      </c>
      <c r="C9" s="1" t="s">
        <v>100</v>
      </c>
      <c r="D9" s="1" t="s">
        <v>101</v>
      </c>
      <c r="E9" s="1" t="s">
        <v>85</v>
      </c>
      <c r="F9" s="1" t="s">
        <v>102</v>
      </c>
      <c r="G9" s="1" t="s">
        <v>103</v>
      </c>
      <c r="H9" s="1" t="s">
        <v>17</v>
      </c>
      <c r="I9" s="1" t="s">
        <v>58</v>
      </c>
      <c r="J9" s="1" t="s">
        <v>75</v>
      </c>
      <c r="K9" s="1" t="s">
        <v>76</v>
      </c>
      <c r="L9" s="1" t="s">
        <v>104</v>
      </c>
      <c r="M9" s="1" t="s">
        <v>26</v>
      </c>
      <c r="N9" s="1" t="s">
        <v>113</v>
      </c>
      <c r="O9" s="1" t="s">
        <v>22</v>
      </c>
      <c r="P9" s="1" t="s">
        <v>114</v>
      </c>
      <c r="Q9" s="1" t="s">
        <v>115</v>
      </c>
      <c r="R9" s="28" t="n">
        <v>907.152</v>
      </c>
      <c r="S9" s="28" t="n">
        <v>6</v>
      </c>
      <c r="T9" s="28" t="n">
        <v>0.2</v>
      </c>
      <c r="U9" s="28" t="n">
        <v>90.7152</v>
      </c>
      <c r="V9" s="1" t="s">
        <v>16</v>
      </c>
    </row>
    <row r="10" customFormat="false" ht="15" hidden="false" customHeight="true" outlineLevel="0" collapsed="false">
      <c r="A10" s="1" t="s">
        <v>116</v>
      </c>
      <c r="B10" s="1" t="s">
        <v>99</v>
      </c>
      <c r="C10" s="1" t="s">
        <v>100</v>
      </c>
      <c r="D10" s="1" t="s">
        <v>101</v>
      </c>
      <c r="E10" s="1" t="s">
        <v>85</v>
      </c>
      <c r="F10" s="1" t="s">
        <v>102</v>
      </c>
      <c r="G10" s="1" t="s">
        <v>103</v>
      </c>
      <c r="H10" s="1" t="s">
        <v>17</v>
      </c>
      <c r="I10" s="1" t="s">
        <v>58</v>
      </c>
      <c r="J10" s="1" t="s">
        <v>75</v>
      </c>
      <c r="K10" s="1" t="s">
        <v>76</v>
      </c>
      <c r="L10" s="1" t="s">
        <v>104</v>
      </c>
      <c r="M10" s="1" t="s">
        <v>26</v>
      </c>
      <c r="N10" s="1" t="s">
        <v>117</v>
      </c>
      <c r="O10" s="1" t="s">
        <v>18</v>
      </c>
      <c r="P10" s="1" t="s">
        <v>118</v>
      </c>
      <c r="Q10" s="1" t="s">
        <v>119</v>
      </c>
      <c r="R10" s="28" t="n">
        <v>18.504</v>
      </c>
      <c r="S10" s="28" t="n">
        <v>3</v>
      </c>
      <c r="T10" s="28" t="n">
        <v>0.2</v>
      </c>
      <c r="U10" s="28" t="n">
        <v>5.7825</v>
      </c>
      <c r="V10" s="1" t="s">
        <v>16</v>
      </c>
    </row>
    <row r="11" customFormat="false" ht="15" hidden="false" customHeight="true" outlineLevel="0" collapsed="false">
      <c r="A11" s="1" t="s">
        <v>120</v>
      </c>
      <c r="B11" s="1" t="s">
        <v>99</v>
      </c>
      <c r="C11" s="1" t="s">
        <v>100</v>
      </c>
      <c r="D11" s="1" t="s">
        <v>101</v>
      </c>
      <c r="E11" s="1" t="s">
        <v>85</v>
      </c>
      <c r="F11" s="1" t="s">
        <v>102</v>
      </c>
      <c r="G11" s="1" t="s">
        <v>103</v>
      </c>
      <c r="H11" s="1" t="s">
        <v>17</v>
      </c>
      <c r="I11" s="1" t="s">
        <v>58</v>
      </c>
      <c r="J11" s="1" t="s">
        <v>75</v>
      </c>
      <c r="K11" s="1" t="s">
        <v>76</v>
      </c>
      <c r="L11" s="1" t="s">
        <v>104</v>
      </c>
      <c r="M11" s="1" t="s">
        <v>26</v>
      </c>
      <c r="N11" s="1" t="s">
        <v>121</v>
      </c>
      <c r="O11" s="1" t="s">
        <v>18</v>
      </c>
      <c r="P11" s="1" t="s">
        <v>122</v>
      </c>
      <c r="Q11" s="1" t="s">
        <v>123</v>
      </c>
      <c r="R11" s="28" t="n">
        <v>114.9</v>
      </c>
      <c r="S11" s="28" t="n">
        <v>5</v>
      </c>
      <c r="T11" s="28" t="n">
        <v>0</v>
      </c>
      <c r="U11" s="28" t="n">
        <v>34.47</v>
      </c>
      <c r="V11" s="1" t="s">
        <v>16</v>
      </c>
    </row>
    <row r="12" customFormat="false" ht="15" hidden="false" customHeight="true" outlineLevel="0" collapsed="false">
      <c r="A12" s="1" t="s">
        <v>124</v>
      </c>
      <c r="B12" s="1" t="s">
        <v>99</v>
      </c>
      <c r="C12" s="1" t="s">
        <v>100</v>
      </c>
      <c r="D12" s="1" t="s">
        <v>101</v>
      </c>
      <c r="E12" s="1" t="s">
        <v>85</v>
      </c>
      <c r="F12" s="1" t="s">
        <v>102</v>
      </c>
      <c r="G12" s="1" t="s">
        <v>103</v>
      </c>
      <c r="H12" s="1" t="s">
        <v>17</v>
      </c>
      <c r="I12" s="1" t="s">
        <v>58</v>
      </c>
      <c r="J12" s="1" t="s">
        <v>75</v>
      </c>
      <c r="K12" s="1" t="s">
        <v>76</v>
      </c>
      <c r="L12" s="1" t="s">
        <v>104</v>
      </c>
      <c r="M12" s="1" t="s">
        <v>26</v>
      </c>
      <c r="N12" s="1" t="s">
        <v>125</v>
      </c>
      <c r="O12" s="1" t="s">
        <v>14</v>
      </c>
      <c r="P12" s="1" t="s">
        <v>92</v>
      </c>
      <c r="Q12" s="1" t="s">
        <v>126</v>
      </c>
      <c r="R12" s="28" t="n">
        <v>1706.184</v>
      </c>
      <c r="S12" s="28" t="n">
        <v>9</v>
      </c>
      <c r="T12" s="28" t="n">
        <v>0.2</v>
      </c>
      <c r="U12" s="28" t="n">
        <v>85.3092</v>
      </c>
      <c r="V12" s="1" t="s">
        <v>16</v>
      </c>
    </row>
    <row r="13" customFormat="false" ht="15" hidden="false" customHeight="true" outlineLevel="0" collapsed="false">
      <c r="A13" s="1" t="s">
        <v>127</v>
      </c>
      <c r="B13" s="1" t="s">
        <v>99</v>
      </c>
      <c r="C13" s="1" t="s">
        <v>100</v>
      </c>
      <c r="D13" s="1" t="s">
        <v>101</v>
      </c>
      <c r="E13" s="1" t="s">
        <v>85</v>
      </c>
      <c r="F13" s="1" t="s">
        <v>102</v>
      </c>
      <c r="G13" s="1" t="s">
        <v>103</v>
      </c>
      <c r="H13" s="1" t="s">
        <v>17</v>
      </c>
      <c r="I13" s="1" t="s">
        <v>58</v>
      </c>
      <c r="J13" s="1" t="s">
        <v>75</v>
      </c>
      <c r="K13" s="1" t="s">
        <v>76</v>
      </c>
      <c r="L13" s="1" t="s">
        <v>104</v>
      </c>
      <c r="M13" s="1" t="s">
        <v>26</v>
      </c>
      <c r="N13" s="1" t="s">
        <v>128</v>
      </c>
      <c r="O13" s="1" t="s">
        <v>22</v>
      </c>
      <c r="P13" s="1" t="s">
        <v>114</v>
      </c>
      <c r="Q13" s="1" t="s">
        <v>129</v>
      </c>
      <c r="R13" s="28" t="n">
        <v>911.424</v>
      </c>
      <c r="S13" s="28" t="n">
        <v>4</v>
      </c>
      <c r="T13" s="28" t="n">
        <v>0.2</v>
      </c>
      <c r="U13" s="28" t="n">
        <v>68.3568</v>
      </c>
      <c r="V13" s="1" t="s">
        <v>16</v>
      </c>
    </row>
    <row r="14" customFormat="false" ht="15" hidden="false" customHeight="true" outlineLevel="0" collapsed="false">
      <c r="A14" s="1" t="s">
        <v>130</v>
      </c>
      <c r="B14" s="1" t="s">
        <v>131</v>
      </c>
      <c r="C14" s="1" t="s">
        <v>132</v>
      </c>
      <c r="D14" s="1" t="s">
        <v>133</v>
      </c>
      <c r="E14" s="1" t="s">
        <v>85</v>
      </c>
      <c r="F14" s="1" t="s">
        <v>134</v>
      </c>
      <c r="G14" s="1" t="s">
        <v>135</v>
      </c>
      <c r="H14" s="1" t="s">
        <v>17</v>
      </c>
      <c r="I14" s="1" t="s">
        <v>58</v>
      </c>
      <c r="J14" s="1" t="s">
        <v>136</v>
      </c>
      <c r="K14" s="1" t="s">
        <v>137</v>
      </c>
      <c r="L14" s="1" t="s">
        <v>138</v>
      </c>
      <c r="M14" s="1" t="s">
        <v>23</v>
      </c>
      <c r="N14" s="1" t="s">
        <v>139</v>
      </c>
      <c r="O14" s="1" t="s">
        <v>18</v>
      </c>
      <c r="P14" s="1" t="s">
        <v>140</v>
      </c>
      <c r="Q14" s="1" t="s">
        <v>141</v>
      </c>
      <c r="R14" s="28" t="n">
        <v>15.552</v>
      </c>
      <c r="S14" s="28" t="n">
        <v>3</v>
      </c>
      <c r="T14" s="28" t="n">
        <v>0.2</v>
      </c>
      <c r="U14" s="28" t="n">
        <v>5.4432</v>
      </c>
      <c r="V14" s="1" t="s">
        <v>27</v>
      </c>
    </row>
    <row r="15" customFormat="false" ht="15" hidden="false" customHeight="true" outlineLevel="0" collapsed="false">
      <c r="A15" s="1" t="s">
        <v>142</v>
      </c>
      <c r="B15" s="1" t="s">
        <v>143</v>
      </c>
      <c r="C15" s="1" t="s">
        <v>144</v>
      </c>
      <c r="D15" s="1" t="s">
        <v>145</v>
      </c>
      <c r="E15" s="1" t="s">
        <v>85</v>
      </c>
      <c r="F15" s="1" t="s">
        <v>146</v>
      </c>
      <c r="G15" s="1" t="s">
        <v>147</v>
      </c>
      <c r="H15" s="1" t="s">
        <v>17</v>
      </c>
      <c r="I15" s="1" t="s">
        <v>58</v>
      </c>
      <c r="J15" s="1" t="s">
        <v>148</v>
      </c>
      <c r="K15" s="1" t="s">
        <v>149</v>
      </c>
      <c r="L15" s="1" t="s">
        <v>150</v>
      </c>
      <c r="M15" s="1" t="s">
        <v>26</v>
      </c>
      <c r="N15" s="1" t="s">
        <v>151</v>
      </c>
      <c r="O15" s="1" t="s">
        <v>18</v>
      </c>
      <c r="P15" s="1" t="s">
        <v>118</v>
      </c>
      <c r="Q15" s="1" t="s">
        <v>152</v>
      </c>
      <c r="R15" s="28" t="n">
        <v>407.976</v>
      </c>
      <c r="S15" s="28" t="n">
        <v>3</v>
      </c>
      <c r="T15" s="28" t="n">
        <v>0.2</v>
      </c>
      <c r="U15" s="28" t="n">
        <v>132.5922</v>
      </c>
      <c r="V15" s="1" t="s">
        <v>24</v>
      </c>
    </row>
    <row r="16" customFormat="false" ht="15" hidden="false" customHeight="true" outlineLevel="0" collapsed="false">
      <c r="A16" s="1" t="s">
        <v>153</v>
      </c>
      <c r="B16" s="1" t="s">
        <v>154</v>
      </c>
      <c r="C16" s="1" t="s">
        <v>155</v>
      </c>
      <c r="D16" s="1" t="s">
        <v>156</v>
      </c>
      <c r="E16" s="1" t="s">
        <v>85</v>
      </c>
      <c r="F16" s="1" t="s">
        <v>157</v>
      </c>
      <c r="G16" s="1" t="s">
        <v>158</v>
      </c>
      <c r="H16" s="1" t="s">
        <v>25</v>
      </c>
      <c r="I16" s="1" t="s">
        <v>58</v>
      </c>
      <c r="J16" s="1" t="s">
        <v>159</v>
      </c>
      <c r="K16" s="1" t="s">
        <v>160</v>
      </c>
      <c r="L16" s="1" t="s">
        <v>161</v>
      </c>
      <c r="M16" s="1" t="s">
        <v>15</v>
      </c>
      <c r="N16" s="1" t="s">
        <v>162</v>
      </c>
      <c r="O16" s="1" t="s">
        <v>18</v>
      </c>
      <c r="P16" s="1" t="s">
        <v>122</v>
      </c>
      <c r="Q16" s="1" t="s">
        <v>163</v>
      </c>
      <c r="R16" s="28" t="n">
        <v>68.81</v>
      </c>
      <c r="S16" s="28" t="n">
        <v>5</v>
      </c>
      <c r="T16" s="28" t="n">
        <v>0.8</v>
      </c>
      <c r="U16" s="28" t="n">
        <v>-123.858</v>
      </c>
      <c r="V16" s="1" t="s">
        <v>20</v>
      </c>
    </row>
    <row r="17" customFormat="false" ht="15" hidden="false" customHeight="true" outlineLevel="0" collapsed="false">
      <c r="A17" s="1" t="s">
        <v>164</v>
      </c>
      <c r="B17" s="1" t="s">
        <v>154</v>
      </c>
      <c r="C17" s="1" t="s">
        <v>155</v>
      </c>
      <c r="D17" s="1" t="s">
        <v>156</v>
      </c>
      <c r="E17" s="1" t="s">
        <v>85</v>
      </c>
      <c r="F17" s="1" t="s">
        <v>157</v>
      </c>
      <c r="G17" s="1" t="s">
        <v>158</v>
      </c>
      <c r="H17" s="1" t="s">
        <v>25</v>
      </c>
      <c r="I17" s="1" t="s">
        <v>58</v>
      </c>
      <c r="J17" s="1" t="s">
        <v>159</v>
      </c>
      <c r="K17" s="1" t="s">
        <v>160</v>
      </c>
      <c r="L17" s="1" t="s">
        <v>161</v>
      </c>
      <c r="M17" s="1" t="s">
        <v>15</v>
      </c>
      <c r="N17" s="1" t="s">
        <v>165</v>
      </c>
      <c r="O17" s="1" t="s">
        <v>18</v>
      </c>
      <c r="P17" s="1" t="s">
        <v>118</v>
      </c>
      <c r="Q17" s="1" t="s">
        <v>166</v>
      </c>
      <c r="R17" s="28" t="n">
        <v>2.544</v>
      </c>
      <c r="S17" s="28" t="n">
        <v>3</v>
      </c>
      <c r="T17" s="28" t="n">
        <v>0.8</v>
      </c>
      <c r="U17" s="28" t="n">
        <v>-3.816</v>
      </c>
      <c r="V17" s="1" t="s">
        <v>20</v>
      </c>
    </row>
    <row r="18" customFormat="false" ht="15" hidden="false" customHeight="true" outlineLevel="0" collapsed="false">
      <c r="A18" s="1" t="s">
        <v>167</v>
      </c>
      <c r="B18" s="1" t="s">
        <v>168</v>
      </c>
      <c r="C18" s="1" t="s">
        <v>169</v>
      </c>
      <c r="D18" s="1" t="s">
        <v>170</v>
      </c>
      <c r="E18" s="1" t="s">
        <v>85</v>
      </c>
      <c r="F18" s="1" t="s">
        <v>171</v>
      </c>
      <c r="G18" s="1" t="s">
        <v>172</v>
      </c>
      <c r="H18" s="1" t="s">
        <v>17</v>
      </c>
      <c r="I18" s="1" t="s">
        <v>58</v>
      </c>
      <c r="J18" s="1" t="s">
        <v>173</v>
      </c>
      <c r="K18" s="1" t="s">
        <v>174</v>
      </c>
      <c r="L18" s="1" t="s">
        <v>175</v>
      </c>
      <c r="M18" s="1" t="s">
        <v>15</v>
      </c>
      <c r="N18" s="1" t="s">
        <v>176</v>
      </c>
      <c r="O18" s="1" t="s">
        <v>18</v>
      </c>
      <c r="P18" s="1" t="s">
        <v>96</v>
      </c>
      <c r="Q18" s="1" t="s">
        <v>177</v>
      </c>
      <c r="R18" s="28" t="n">
        <v>665.88</v>
      </c>
      <c r="S18" s="28" t="n">
        <v>6</v>
      </c>
      <c r="T18" s="28" t="n">
        <v>0</v>
      </c>
      <c r="U18" s="28" t="n">
        <v>13.3176</v>
      </c>
      <c r="V18" s="1" t="s">
        <v>16</v>
      </c>
    </row>
    <row r="19" customFormat="false" ht="15" hidden="false" customHeight="true" outlineLevel="0" collapsed="false">
      <c r="A19" s="1" t="s">
        <v>178</v>
      </c>
      <c r="B19" s="1" t="s">
        <v>179</v>
      </c>
      <c r="C19" s="1" t="s">
        <v>180</v>
      </c>
      <c r="D19" s="1" t="s">
        <v>181</v>
      </c>
      <c r="E19" s="1" t="s">
        <v>55</v>
      </c>
      <c r="F19" s="1" t="s">
        <v>182</v>
      </c>
      <c r="G19" s="1" t="s">
        <v>183</v>
      </c>
      <c r="H19" s="1" t="s">
        <v>17</v>
      </c>
      <c r="I19" s="1" t="s">
        <v>58</v>
      </c>
      <c r="J19" s="1" t="s">
        <v>184</v>
      </c>
      <c r="K19" s="1" t="s">
        <v>185</v>
      </c>
      <c r="L19" s="1" t="s">
        <v>186</v>
      </c>
      <c r="M19" s="1" t="s">
        <v>26</v>
      </c>
      <c r="N19" s="1" t="s">
        <v>187</v>
      </c>
      <c r="O19" s="1" t="s">
        <v>18</v>
      </c>
      <c r="P19" s="1" t="s">
        <v>96</v>
      </c>
      <c r="Q19" s="1" t="s">
        <v>188</v>
      </c>
      <c r="R19" s="28" t="n">
        <v>55.5</v>
      </c>
      <c r="S19" s="28" t="n">
        <v>2</v>
      </c>
      <c r="T19" s="28" t="n">
        <v>0</v>
      </c>
      <c r="U19" s="28" t="n">
        <v>9.99</v>
      </c>
      <c r="V19" s="1" t="s">
        <v>16</v>
      </c>
    </row>
    <row r="20" customFormat="false" ht="15" hidden="false" customHeight="true" outlineLevel="0" collapsed="false">
      <c r="A20" s="1" t="s">
        <v>189</v>
      </c>
      <c r="B20" s="1" t="s">
        <v>190</v>
      </c>
      <c r="C20" s="1" t="s">
        <v>191</v>
      </c>
      <c r="D20" s="1" t="s">
        <v>192</v>
      </c>
      <c r="E20" s="1" t="s">
        <v>55</v>
      </c>
      <c r="F20" s="1" t="s">
        <v>193</v>
      </c>
      <c r="G20" s="1" t="s">
        <v>194</v>
      </c>
      <c r="H20" s="1" t="s">
        <v>17</v>
      </c>
      <c r="I20" s="1" t="s">
        <v>58</v>
      </c>
      <c r="J20" s="1" t="s">
        <v>195</v>
      </c>
      <c r="K20" s="1" t="s">
        <v>76</v>
      </c>
      <c r="L20" s="1" t="s">
        <v>196</v>
      </c>
      <c r="M20" s="1" t="s">
        <v>26</v>
      </c>
      <c r="N20" s="1" t="s">
        <v>197</v>
      </c>
      <c r="O20" s="1" t="s">
        <v>18</v>
      </c>
      <c r="P20" s="1" t="s">
        <v>110</v>
      </c>
      <c r="Q20" s="1" t="s">
        <v>198</v>
      </c>
      <c r="R20" s="28" t="n">
        <v>8.56</v>
      </c>
      <c r="S20" s="28" t="n">
        <v>2</v>
      </c>
      <c r="T20" s="28" t="n">
        <v>0</v>
      </c>
      <c r="U20" s="28" t="n">
        <v>2.4824</v>
      </c>
      <c r="V20" s="1" t="s">
        <v>16</v>
      </c>
    </row>
    <row r="21" customFormat="false" ht="15" hidden="false" customHeight="true" outlineLevel="0" collapsed="false">
      <c r="A21" s="1" t="s">
        <v>199</v>
      </c>
      <c r="B21" s="1" t="s">
        <v>190</v>
      </c>
      <c r="C21" s="1" t="s">
        <v>191</v>
      </c>
      <c r="D21" s="1" t="s">
        <v>192</v>
      </c>
      <c r="E21" s="1" t="s">
        <v>55</v>
      </c>
      <c r="F21" s="1" t="s">
        <v>193</v>
      </c>
      <c r="G21" s="1" t="s">
        <v>194</v>
      </c>
      <c r="H21" s="1" t="s">
        <v>17</v>
      </c>
      <c r="I21" s="1" t="s">
        <v>58</v>
      </c>
      <c r="J21" s="1" t="s">
        <v>195</v>
      </c>
      <c r="K21" s="1" t="s">
        <v>76</v>
      </c>
      <c r="L21" s="1" t="s">
        <v>196</v>
      </c>
      <c r="M21" s="1" t="s">
        <v>26</v>
      </c>
      <c r="N21" s="1" t="s">
        <v>200</v>
      </c>
      <c r="O21" s="1" t="s">
        <v>22</v>
      </c>
      <c r="P21" s="1" t="s">
        <v>114</v>
      </c>
      <c r="Q21" s="1" t="s">
        <v>201</v>
      </c>
      <c r="R21" s="28" t="n">
        <v>213.48</v>
      </c>
      <c r="S21" s="28" t="n">
        <v>3</v>
      </c>
      <c r="T21" s="28" t="n">
        <v>0.2</v>
      </c>
      <c r="U21" s="28" t="n">
        <v>16.011</v>
      </c>
      <c r="V21" s="1" t="s">
        <v>16</v>
      </c>
    </row>
    <row r="22" customFormat="false" ht="15" hidden="false" customHeight="true" outlineLevel="0" collapsed="false">
      <c r="A22" s="1" t="s">
        <v>202</v>
      </c>
      <c r="B22" s="1" t="s">
        <v>190</v>
      </c>
      <c r="C22" s="1" t="s">
        <v>191</v>
      </c>
      <c r="D22" s="1" t="s">
        <v>192</v>
      </c>
      <c r="E22" s="1" t="s">
        <v>55</v>
      </c>
      <c r="F22" s="1" t="s">
        <v>193</v>
      </c>
      <c r="G22" s="1" t="s">
        <v>194</v>
      </c>
      <c r="H22" s="1" t="s">
        <v>17</v>
      </c>
      <c r="I22" s="1" t="s">
        <v>58</v>
      </c>
      <c r="J22" s="1" t="s">
        <v>195</v>
      </c>
      <c r="K22" s="1" t="s">
        <v>76</v>
      </c>
      <c r="L22" s="1" t="s">
        <v>196</v>
      </c>
      <c r="M22" s="1" t="s">
        <v>26</v>
      </c>
      <c r="N22" s="1" t="s">
        <v>203</v>
      </c>
      <c r="O22" s="1" t="s">
        <v>18</v>
      </c>
      <c r="P22" s="1" t="s">
        <v>118</v>
      </c>
      <c r="Q22" s="1" t="s">
        <v>204</v>
      </c>
      <c r="R22" s="28" t="n">
        <v>22.72</v>
      </c>
      <c r="S22" s="28" t="n">
        <v>4</v>
      </c>
      <c r="T22" s="28" t="n">
        <v>0.2</v>
      </c>
      <c r="U22" s="28" t="n">
        <v>7.384</v>
      </c>
      <c r="V22" s="1" t="s">
        <v>16</v>
      </c>
    </row>
    <row r="23" customFormat="false" ht="15" hidden="false" customHeight="true" outlineLevel="0" collapsed="false">
      <c r="A23" s="1" t="s">
        <v>205</v>
      </c>
      <c r="B23" s="1" t="s">
        <v>206</v>
      </c>
      <c r="C23" s="1" t="s">
        <v>207</v>
      </c>
      <c r="D23" s="1" t="s">
        <v>208</v>
      </c>
      <c r="E23" s="1" t="s">
        <v>85</v>
      </c>
      <c r="F23" s="1" t="s">
        <v>209</v>
      </c>
      <c r="G23" s="1" t="s">
        <v>210</v>
      </c>
      <c r="H23" s="1" t="s">
        <v>21</v>
      </c>
      <c r="I23" s="1" t="s">
        <v>58</v>
      </c>
      <c r="J23" s="1" t="s">
        <v>211</v>
      </c>
      <c r="K23" s="1" t="s">
        <v>212</v>
      </c>
      <c r="L23" s="1" t="s">
        <v>213</v>
      </c>
      <c r="M23" s="1" t="s">
        <v>15</v>
      </c>
      <c r="N23" s="1" t="s">
        <v>214</v>
      </c>
      <c r="O23" s="1" t="s">
        <v>18</v>
      </c>
      <c r="P23" s="1" t="s">
        <v>110</v>
      </c>
      <c r="Q23" s="1" t="s">
        <v>215</v>
      </c>
      <c r="R23" s="28" t="n">
        <v>19.46</v>
      </c>
      <c r="S23" s="28" t="n">
        <v>7</v>
      </c>
      <c r="T23" s="28" t="n">
        <v>0</v>
      </c>
      <c r="U23" s="28" t="n">
        <v>5.0596</v>
      </c>
      <c r="V23" s="1" t="s">
        <v>24</v>
      </c>
    </row>
    <row r="24" customFormat="false" ht="15" hidden="false" customHeight="true" outlineLevel="0" collapsed="false">
      <c r="A24" s="1" t="s">
        <v>216</v>
      </c>
      <c r="B24" s="1" t="s">
        <v>206</v>
      </c>
      <c r="C24" s="1" t="s">
        <v>207</v>
      </c>
      <c r="D24" s="1" t="s">
        <v>208</v>
      </c>
      <c r="E24" s="1" t="s">
        <v>85</v>
      </c>
      <c r="F24" s="1" t="s">
        <v>209</v>
      </c>
      <c r="G24" s="1" t="s">
        <v>210</v>
      </c>
      <c r="H24" s="1" t="s">
        <v>21</v>
      </c>
      <c r="I24" s="1" t="s">
        <v>58</v>
      </c>
      <c r="J24" s="1" t="s">
        <v>211</v>
      </c>
      <c r="K24" s="1" t="s">
        <v>212</v>
      </c>
      <c r="L24" s="1" t="s">
        <v>213</v>
      </c>
      <c r="M24" s="1" t="s">
        <v>15</v>
      </c>
      <c r="N24" s="1" t="s">
        <v>217</v>
      </c>
      <c r="O24" s="1" t="s">
        <v>18</v>
      </c>
      <c r="P24" s="1" t="s">
        <v>122</v>
      </c>
      <c r="Q24" s="1" t="s">
        <v>218</v>
      </c>
      <c r="R24" s="28" t="n">
        <v>60.34</v>
      </c>
      <c r="S24" s="28" t="n">
        <v>7</v>
      </c>
      <c r="T24" s="28" t="n">
        <v>0</v>
      </c>
      <c r="U24" s="28" t="n">
        <v>15.6884</v>
      </c>
      <c r="V24" s="1" t="s">
        <v>24</v>
      </c>
    </row>
    <row r="25" customFormat="false" ht="15" hidden="false" customHeight="true" outlineLevel="0" collapsed="false">
      <c r="A25" s="1" t="s">
        <v>219</v>
      </c>
      <c r="B25" s="1" t="s">
        <v>220</v>
      </c>
      <c r="C25" s="1" t="s">
        <v>221</v>
      </c>
      <c r="D25" s="1" t="s">
        <v>222</v>
      </c>
      <c r="E25" s="1" t="s">
        <v>55</v>
      </c>
      <c r="F25" s="1" t="s">
        <v>223</v>
      </c>
      <c r="G25" s="1" t="s">
        <v>224</v>
      </c>
      <c r="H25" s="1" t="s">
        <v>17</v>
      </c>
      <c r="I25" s="1" t="s">
        <v>58</v>
      </c>
      <c r="J25" s="1" t="s">
        <v>225</v>
      </c>
      <c r="K25" s="1" t="s">
        <v>226</v>
      </c>
      <c r="L25" s="1" t="s">
        <v>227</v>
      </c>
      <c r="M25" s="1" t="s">
        <v>19</v>
      </c>
      <c r="N25" s="1" t="s">
        <v>228</v>
      </c>
      <c r="O25" s="1" t="s">
        <v>14</v>
      </c>
      <c r="P25" s="1" t="s">
        <v>67</v>
      </c>
      <c r="Q25" s="1" t="s">
        <v>229</v>
      </c>
      <c r="R25" s="28" t="n">
        <v>71.372</v>
      </c>
      <c r="S25" s="28" t="n">
        <v>2</v>
      </c>
      <c r="T25" s="28" t="n">
        <v>0.3</v>
      </c>
      <c r="U25" s="28" t="n">
        <v>-1.0196</v>
      </c>
      <c r="V25" s="1" t="s">
        <v>27</v>
      </c>
    </row>
    <row r="26" customFormat="false" ht="15" hidden="false" customHeight="true" outlineLevel="0" collapsed="false">
      <c r="A26" s="1" t="s">
        <v>230</v>
      </c>
      <c r="B26" s="1" t="s">
        <v>231</v>
      </c>
      <c r="C26" s="1" t="s">
        <v>232</v>
      </c>
      <c r="D26" s="1" t="s">
        <v>233</v>
      </c>
      <c r="E26" s="1" t="s">
        <v>85</v>
      </c>
      <c r="F26" s="1" t="s">
        <v>234</v>
      </c>
      <c r="G26" s="1" t="s">
        <v>235</v>
      </c>
      <c r="H26" s="1" t="s">
        <v>17</v>
      </c>
      <c r="I26" s="1" t="s">
        <v>58</v>
      </c>
      <c r="J26" s="1" t="s">
        <v>236</v>
      </c>
      <c r="K26" s="1" t="s">
        <v>185</v>
      </c>
      <c r="L26" s="1" t="s">
        <v>237</v>
      </c>
      <c r="M26" s="1" t="s">
        <v>26</v>
      </c>
      <c r="N26" s="1" t="s">
        <v>91</v>
      </c>
      <c r="O26" s="1" t="s">
        <v>14</v>
      </c>
      <c r="P26" s="1" t="s">
        <v>92</v>
      </c>
      <c r="Q26" s="1" t="s">
        <v>93</v>
      </c>
      <c r="R26" s="28" t="n">
        <v>1044.63</v>
      </c>
      <c r="S26" s="28" t="n">
        <v>3</v>
      </c>
      <c r="T26" s="28" t="n">
        <v>0</v>
      </c>
      <c r="U26" s="28" t="n">
        <v>240.2649</v>
      </c>
      <c r="V26" s="1" t="s">
        <v>20</v>
      </c>
    </row>
    <row r="27" customFormat="false" ht="15" hidden="false" customHeight="true" outlineLevel="0" collapsed="false">
      <c r="A27" s="1" t="s">
        <v>238</v>
      </c>
      <c r="B27" s="1" t="s">
        <v>239</v>
      </c>
      <c r="C27" s="1" t="s">
        <v>240</v>
      </c>
      <c r="D27" s="1" t="s">
        <v>241</v>
      </c>
      <c r="E27" s="1" t="s">
        <v>55</v>
      </c>
      <c r="F27" s="1" t="s">
        <v>242</v>
      </c>
      <c r="G27" s="1" t="s">
        <v>243</v>
      </c>
      <c r="H27" s="1" t="s">
        <v>17</v>
      </c>
      <c r="I27" s="1" t="s">
        <v>58</v>
      </c>
      <c r="J27" s="1" t="s">
        <v>75</v>
      </c>
      <c r="K27" s="1" t="s">
        <v>76</v>
      </c>
      <c r="L27" s="1" t="s">
        <v>244</v>
      </c>
      <c r="M27" s="1" t="s">
        <v>26</v>
      </c>
      <c r="N27" s="1" t="s">
        <v>245</v>
      </c>
      <c r="O27" s="1" t="s">
        <v>18</v>
      </c>
      <c r="P27" s="1" t="s">
        <v>118</v>
      </c>
      <c r="Q27" s="1" t="s">
        <v>246</v>
      </c>
      <c r="R27" s="28" t="n">
        <v>11.648</v>
      </c>
      <c r="S27" s="28" t="n">
        <v>2</v>
      </c>
      <c r="T27" s="28" t="n">
        <v>0.2</v>
      </c>
      <c r="U27" s="28" t="n">
        <v>4.2224</v>
      </c>
      <c r="V27" s="1" t="s">
        <v>24</v>
      </c>
    </row>
    <row r="28" customFormat="false" ht="15" hidden="false" customHeight="true" outlineLevel="0" collapsed="false">
      <c r="A28" s="1" t="s">
        <v>247</v>
      </c>
      <c r="B28" s="1" t="s">
        <v>239</v>
      </c>
      <c r="C28" s="1" t="s">
        <v>240</v>
      </c>
      <c r="D28" s="1" t="s">
        <v>241</v>
      </c>
      <c r="E28" s="1" t="s">
        <v>55</v>
      </c>
      <c r="F28" s="1" t="s">
        <v>242</v>
      </c>
      <c r="G28" s="1" t="s">
        <v>243</v>
      </c>
      <c r="H28" s="1" t="s">
        <v>17</v>
      </c>
      <c r="I28" s="1" t="s">
        <v>58</v>
      </c>
      <c r="J28" s="1" t="s">
        <v>75</v>
      </c>
      <c r="K28" s="1" t="s">
        <v>76</v>
      </c>
      <c r="L28" s="1" t="s">
        <v>244</v>
      </c>
      <c r="M28" s="1" t="s">
        <v>26</v>
      </c>
      <c r="N28" s="1" t="s">
        <v>248</v>
      </c>
      <c r="O28" s="1" t="s">
        <v>22</v>
      </c>
      <c r="P28" s="1" t="s">
        <v>249</v>
      </c>
      <c r="Q28" s="1" t="s">
        <v>250</v>
      </c>
      <c r="R28" s="28" t="n">
        <v>90.57</v>
      </c>
      <c r="S28" s="28" t="n">
        <v>3</v>
      </c>
      <c r="T28" s="28" t="n">
        <v>0</v>
      </c>
      <c r="U28" s="28" t="n">
        <v>11.7741</v>
      </c>
      <c r="V28" s="1" t="s">
        <v>24</v>
      </c>
    </row>
    <row r="29" customFormat="false" ht="15" hidden="false" customHeight="true" outlineLevel="0" collapsed="false">
      <c r="A29" s="1" t="s">
        <v>251</v>
      </c>
      <c r="B29" s="1" t="s">
        <v>252</v>
      </c>
      <c r="C29" s="1" t="s">
        <v>253</v>
      </c>
      <c r="D29" s="1" t="s">
        <v>254</v>
      </c>
      <c r="E29" s="1" t="s">
        <v>85</v>
      </c>
      <c r="F29" s="1" t="s">
        <v>255</v>
      </c>
      <c r="G29" s="1" t="s">
        <v>256</v>
      </c>
      <c r="H29" s="1" t="s">
        <v>17</v>
      </c>
      <c r="I29" s="1" t="s">
        <v>58</v>
      </c>
      <c r="J29" s="1" t="s">
        <v>225</v>
      </c>
      <c r="K29" s="1" t="s">
        <v>226</v>
      </c>
      <c r="L29" s="1" t="s">
        <v>227</v>
      </c>
      <c r="M29" s="1" t="s">
        <v>19</v>
      </c>
      <c r="N29" s="1" t="s">
        <v>257</v>
      </c>
      <c r="O29" s="1" t="s">
        <v>14</v>
      </c>
      <c r="P29" s="1" t="s">
        <v>63</v>
      </c>
      <c r="Q29" s="1" t="s">
        <v>258</v>
      </c>
      <c r="R29" s="28" t="n">
        <v>3083.43</v>
      </c>
      <c r="S29" s="28" t="n">
        <v>7</v>
      </c>
      <c r="T29" s="28" t="n">
        <v>0.5</v>
      </c>
      <c r="U29" s="28" t="n">
        <v>-1665.0522</v>
      </c>
      <c r="V29" s="1" t="s">
        <v>20</v>
      </c>
    </row>
    <row r="30" customFormat="false" ht="15" hidden="false" customHeight="true" outlineLevel="0" collapsed="false">
      <c r="A30" s="1" t="s">
        <v>259</v>
      </c>
      <c r="B30" s="1" t="s">
        <v>252</v>
      </c>
      <c r="C30" s="1" t="s">
        <v>253</v>
      </c>
      <c r="D30" s="1" t="s">
        <v>254</v>
      </c>
      <c r="E30" s="1" t="s">
        <v>85</v>
      </c>
      <c r="F30" s="1" t="s">
        <v>255</v>
      </c>
      <c r="G30" s="1" t="s">
        <v>256</v>
      </c>
      <c r="H30" s="1" t="s">
        <v>17</v>
      </c>
      <c r="I30" s="1" t="s">
        <v>58</v>
      </c>
      <c r="J30" s="1" t="s">
        <v>225</v>
      </c>
      <c r="K30" s="1" t="s">
        <v>226</v>
      </c>
      <c r="L30" s="1" t="s">
        <v>227</v>
      </c>
      <c r="M30" s="1" t="s">
        <v>19</v>
      </c>
      <c r="N30" s="1" t="s">
        <v>260</v>
      </c>
      <c r="O30" s="1" t="s">
        <v>18</v>
      </c>
      <c r="P30" s="1" t="s">
        <v>118</v>
      </c>
      <c r="Q30" s="1" t="s">
        <v>261</v>
      </c>
      <c r="R30" s="28" t="n">
        <v>9.618</v>
      </c>
      <c r="S30" s="28" t="n">
        <v>2</v>
      </c>
      <c r="T30" s="28" t="n">
        <v>0.7</v>
      </c>
      <c r="U30" s="28" t="n">
        <v>-7.0532</v>
      </c>
      <c r="V30" s="1" t="s">
        <v>20</v>
      </c>
    </row>
    <row r="31" customFormat="false" ht="15" hidden="false" customHeight="true" outlineLevel="0" collapsed="false">
      <c r="A31" s="1" t="s">
        <v>262</v>
      </c>
      <c r="B31" s="1" t="s">
        <v>252</v>
      </c>
      <c r="C31" s="1" t="s">
        <v>253</v>
      </c>
      <c r="D31" s="1" t="s">
        <v>254</v>
      </c>
      <c r="E31" s="1" t="s">
        <v>85</v>
      </c>
      <c r="F31" s="1" t="s">
        <v>255</v>
      </c>
      <c r="G31" s="1" t="s">
        <v>256</v>
      </c>
      <c r="H31" s="1" t="s">
        <v>17</v>
      </c>
      <c r="I31" s="1" t="s">
        <v>58</v>
      </c>
      <c r="J31" s="1" t="s">
        <v>225</v>
      </c>
      <c r="K31" s="1" t="s">
        <v>226</v>
      </c>
      <c r="L31" s="1" t="s">
        <v>227</v>
      </c>
      <c r="M31" s="1" t="s">
        <v>19</v>
      </c>
      <c r="N31" s="1" t="s">
        <v>263</v>
      </c>
      <c r="O31" s="1" t="s">
        <v>14</v>
      </c>
      <c r="P31" s="1" t="s">
        <v>106</v>
      </c>
      <c r="Q31" s="1" t="s">
        <v>264</v>
      </c>
      <c r="R31" s="28" t="n">
        <v>124.2</v>
      </c>
      <c r="S31" s="28" t="n">
        <v>3</v>
      </c>
      <c r="T31" s="28" t="n">
        <v>0.2</v>
      </c>
      <c r="U31" s="28" t="n">
        <v>15.525</v>
      </c>
      <c r="V31" s="1" t="s">
        <v>20</v>
      </c>
    </row>
    <row r="32" customFormat="false" ht="15" hidden="false" customHeight="true" outlineLevel="0" collapsed="false">
      <c r="A32" s="1" t="s">
        <v>265</v>
      </c>
      <c r="B32" s="1" t="s">
        <v>252</v>
      </c>
      <c r="C32" s="1" t="s">
        <v>253</v>
      </c>
      <c r="D32" s="1" t="s">
        <v>254</v>
      </c>
      <c r="E32" s="1" t="s">
        <v>85</v>
      </c>
      <c r="F32" s="1" t="s">
        <v>255</v>
      </c>
      <c r="G32" s="1" t="s">
        <v>256</v>
      </c>
      <c r="H32" s="1" t="s">
        <v>17</v>
      </c>
      <c r="I32" s="1" t="s">
        <v>58</v>
      </c>
      <c r="J32" s="1" t="s">
        <v>225</v>
      </c>
      <c r="K32" s="1" t="s">
        <v>226</v>
      </c>
      <c r="L32" s="1" t="s">
        <v>227</v>
      </c>
      <c r="M32" s="1" t="s">
        <v>19</v>
      </c>
      <c r="N32" s="1" t="s">
        <v>266</v>
      </c>
      <c r="O32" s="1" t="s">
        <v>18</v>
      </c>
      <c r="P32" s="1" t="s">
        <v>267</v>
      </c>
      <c r="Q32" s="1" t="s">
        <v>268</v>
      </c>
      <c r="R32" s="28" t="n">
        <v>3.264</v>
      </c>
      <c r="S32" s="28" t="n">
        <v>2</v>
      </c>
      <c r="T32" s="28" t="n">
        <v>0.2</v>
      </c>
      <c r="U32" s="28" t="n">
        <v>1.1016</v>
      </c>
      <c r="V32" s="1" t="s">
        <v>20</v>
      </c>
    </row>
    <row r="33" customFormat="false" ht="15" hidden="false" customHeight="true" outlineLevel="0" collapsed="false">
      <c r="A33" s="1" t="s">
        <v>269</v>
      </c>
      <c r="B33" s="1" t="s">
        <v>252</v>
      </c>
      <c r="C33" s="1" t="s">
        <v>253</v>
      </c>
      <c r="D33" s="1" t="s">
        <v>254</v>
      </c>
      <c r="E33" s="1" t="s">
        <v>85</v>
      </c>
      <c r="F33" s="1" t="s">
        <v>255</v>
      </c>
      <c r="G33" s="1" t="s">
        <v>256</v>
      </c>
      <c r="H33" s="1" t="s">
        <v>17</v>
      </c>
      <c r="I33" s="1" t="s">
        <v>58</v>
      </c>
      <c r="J33" s="1" t="s">
        <v>225</v>
      </c>
      <c r="K33" s="1" t="s">
        <v>226</v>
      </c>
      <c r="L33" s="1" t="s">
        <v>227</v>
      </c>
      <c r="M33" s="1" t="s">
        <v>19</v>
      </c>
      <c r="N33" s="1" t="s">
        <v>270</v>
      </c>
      <c r="O33" s="1" t="s">
        <v>18</v>
      </c>
      <c r="P33" s="1" t="s">
        <v>110</v>
      </c>
      <c r="Q33" s="1" t="s">
        <v>271</v>
      </c>
      <c r="R33" s="28" t="n">
        <v>86.304</v>
      </c>
      <c r="S33" s="28" t="n">
        <v>6</v>
      </c>
      <c r="T33" s="28" t="n">
        <v>0.2</v>
      </c>
      <c r="U33" s="28" t="n">
        <v>9.7092</v>
      </c>
      <c r="V33" s="1" t="s">
        <v>20</v>
      </c>
    </row>
    <row r="34" customFormat="false" ht="15" hidden="false" customHeight="true" outlineLevel="0" collapsed="false">
      <c r="A34" s="1" t="s">
        <v>272</v>
      </c>
      <c r="B34" s="1" t="s">
        <v>252</v>
      </c>
      <c r="C34" s="1" t="s">
        <v>253</v>
      </c>
      <c r="D34" s="1" t="s">
        <v>254</v>
      </c>
      <c r="E34" s="1" t="s">
        <v>85</v>
      </c>
      <c r="F34" s="1" t="s">
        <v>255</v>
      </c>
      <c r="G34" s="1" t="s">
        <v>256</v>
      </c>
      <c r="H34" s="1" t="s">
        <v>17</v>
      </c>
      <c r="I34" s="1" t="s">
        <v>58</v>
      </c>
      <c r="J34" s="1" t="s">
        <v>225</v>
      </c>
      <c r="K34" s="1" t="s">
        <v>226</v>
      </c>
      <c r="L34" s="1" t="s">
        <v>227</v>
      </c>
      <c r="M34" s="1" t="s">
        <v>19</v>
      </c>
      <c r="N34" s="1" t="s">
        <v>273</v>
      </c>
      <c r="O34" s="1" t="s">
        <v>18</v>
      </c>
      <c r="P34" s="1" t="s">
        <v>118</v>
      </c>
      <c r="Q34" s="1" t="s">
        <v>274</v>
      </c>
      <c r="R34" s="28" t="n">
        <v>6.858</v>
      </c>
      <c r="S34" s="28" t="n">
        <v>6</v>
      </c>
      <c r="T34" s="28" t="n">
        <v>0.7</v>
      </c>
      <c r="U34" s="28" t="n">
        <v>-5.715</v>
      </c>
      <c r="V34" s="1" t="s">
        <v>20</v>
      </c>
    </row>
    <row r="35" customFormat="false" ht="15" hidden="false" customHeight="true" outlineLevel="0" collapsed="false">
      <c r="A35" s="1" t="s">
        <v>275</v>
      </c>
      <c r="B35" s="1" t="s">
        <v>252</v>
      </c>
      <c r="C35" s="1" t="s">
        <v>253</v>
      </c>
      <c r="D35" s="1" t="s">
        <v>254</v>
      </c>
      <c r="E35" s="1" t="s">
        <v>85</v>
      </c>
      <c r="F35" s="1" t="s">
        <v>255</v>
      </c>
      <c r="G35" s="1" t="s">
        <v>256</v>
      </c>
      <c r="H35" s="1" t="s">
        <v>17</v>
      </c>
      <c r="I35" s="1" t="s">
        <v>58</v>
      </c>
      <c r="J35" s="1" t="s">
        <v>225</v>
      </c>
      <c r="K35" s="1" t="s">
        <v>226</v>
      </c>
      <c r="L35" s="1" t="s">
        <v>227</v>
      </c>
      <c r="M35" s="1" t="s">
        <v>19</v>
      </c>
      <c r="N35" s="1" t="s">
        <v>276</v>
      </c>
      <c r="O35" s="1" t="s">
        <v>18</v>
      </c>
      <c r="P35" s="1" t="s">
        <v>110</v>
      </c>
      <c r="Q35" s="1" t="s">
        <v>277</v>
      </c>
      <c r="R35" s="28" t="n">
        <v>15.76</v>
      </c>
      <c r="S35" s="28" t="n">
        <v>2</v>
      </c>
      <c r="T35" s="28" t="n">
        <v>0.2</v>
      </c>
      <c r="U35" s="28" t="n">
        <v>3.546</v>
      </c>
      <c r="V35" s="1" t="s">
        <v>20</v>
      </c>
    </row>
    <row r="36" customFormat="false" ht="15" hidden="false" customHeight="true" outlineLevel="0" collapsed="false">
      <c r="A36" s="1" t="s">
        <v>278</v>
      </c>
      <c r="B36" s="1" t="s">
        <v>279</v>
      </c>
      <c r="C36" s="1" t="s">
        <v>280</v>
      </c>
      <c r="D36" s="1" t="s">
        <v>281</v>
      </c>
      <c r="E36" s="1" t="s">
        <v>55</v>
      </c>
      <c r="F36" s="1" t="s">
        <v>282</v>
      </c>
      <c r="G36" s="1" t="s">
        <v>283</v>
      </c>
      <c r="H36" s="1" t="s">
        <v>25</v>
      </c>
      <c r="I36" s="1" t="s">
        <v>58</v>
      </c>
      <c r="J36" s="1" t="s">
        <v>284</v>
      </c>
      <c r="K36" s="1" t="s">
        <v>160</v>
      </c>
      <c r="L36" s="1" t="s">
        <v>285</v>
      </c>
      <c r="M36" s="1" t="s">
        <v>15</v>
      </c>
      <c r="N36" s="1" t="s">
        <v>286</v>
      </c>
      <c r="O36" s="1" t="s">
        <v>18</v>
      </c>
      <c r="P36" s="1" t="s">
        <v>140</v>
      </c>
      <c r="Q36" s="1" t="s">
        <v>287</v>
      </c>
      <c r="R36" s="28" t="n">
        <v>29.472</v>
      </c>
      <c r="S36" s="28" t="n">
        <v>3</v>
      </c>
      <c r="T36" s="28" t="n">
        <v>0.2</v>
      </c>
      <c r="U36" s="28" t="n">
        <v>9.9468</v>
      </c>
      <c r="V36" s="1" t="s">
        <v>27</v>
      </c>
    </row>
    <row r="37" customFormat="false" ht="15" hidden="false" customHeight="true" outlineLevel="0" collapsed="false">
      <c r="A37" s="1" t="s">
        <v>288</v>
      </c>
      <c r="B37" s="1" t="s">
        <v>289</v>
      </c>
      <c r="C37" s="1" t="s">
        <v>290</v>
      </c>
      <c r="D37" s="1" t="s">
        <v>145</v>
      </c>
      <c r="E37" s="1" t="s">
        <v>291</v>
      </c>
      <c r="F37" s="1" t="s">
        <v>292</v>
      </c>
      <c r="G37" s="1" t="s">
        <v>293</v>
      </c>
      <c r="H37" s="1" t="s">
        <v>21</v>
      </c>
      <c r="I37" s="1" t="s">
        <v>58</v>
      </c>
      <c r="J37" s="1" t="s">
        <v>294</v>
      </c>
      <c r="K37" s="1" t="s">
        <v>160</v>
      </c>
      <c r="L37" s="1" t="s">
        <v>295</v>
      </c>
      <c r="M37" s="1" t="s">
        <v>15</v>
      </c>
      <c r="N37" s="1" t="s">
        <v>296</v>
      </c>
      <c r="O37" s="1" t="s">
        <v>22</v>
      </c>
      <c r="P37" s="1" t="s">
        <v>114</v>
      </c>
      <c r="Q37" s="1" t="s">
        <v>297</v>
      </c>
      <c r="R37" s="28" t="n">
        <v>1097.544</v>
      </c>
      <c r="S37" s="28" t="n">
        <v>7</v>
      </c>
      <c r="T37" s="28" t="n">
        <v>0.2</v>
      </c>
      <c r="U37" s="28" t="n">
        <v>123.4737</v>
      </c>
      <c r="V37" s="1" t="s">
        <v>24</v>
      </c>
    </row>
    <row r="38" customFormat="false" ht="15" hidden="false" customHeight="true" outlineLevel="0" collapsed="false">
      <c r="A38" s="1" t="s">
        <v>298</v>
      </c>
      <c r="B38" s="1" t="s">
        <v>289</v>
      </c>
      <c r="C38" s="1" t="s">
        <v>290</v>
      </c>
      <c r="D38" s="1" t="s">
        <v>145</v>
      </c>
      <c r="E38" s="1" t="s">
        <v>291</v>
      </c>
      <c r="F38" s="1" t="s">
        <v>292</v>
      </c>
      <c r="G38" s="1" t="s">
        <v>293</v>
      </c>
      <c r="H38" s="1" t="s">
        <v>21</v>
      </c>
      <c r="I38" s="1" t="s">
        <v>58</v>
      </c>
      <c r="J38" s="1" t="s">
        <v>294</v>
      </c>
      <c r="K38" s="1" t="s">
        <v>160</v>
      </c>
      <c r="L38" s="1" t="s">
        <v>295</v>
      </c>
      <c r="M38" s="1" t="s">
        <v>15</v>
      </c>
      <c r="N38" s="1" t="s">
        <v>299</v>
      </c>
      <c r="O38" s="1" t="s">
        <v>14</v>
      </c>
      <c r="P38" s="1" t="s">
        <v>106</v>
      </c>
      <c r="Q38" s="1" t="s">
        <v>300</v>
      </c>
      <c r="R38" s="28" t="n">
        <v>190.92</v>
      </c>
      <c r="S38" s="28" t="n">
        <v>5</v>
      </c>
      <c r="T38" s="28" t="n">
        <v>0.6</v>
      </c>
      <c r="U38" s="28" t="n">
        <v>-147.963</v>
      </c>
      <c r="V38" s="1" t="s">
        <v>24</v>
      </c>
    </row>
    <row r="39" customFormat="false" ht="15" hidden="false" customHeight="true" outlineLevel="0" collapsed="false">
      <c r="A39" s="1" t="s">
        <v>301</v>
      </c>
      <c r="B39" s="1" t="s">
        <v>302</v>
      </c>
      <c r="C39" s="1" t="s">
        <v>303</v>
      </c>
      <c r="D39" s="1" t="s">
        <v>304</v>
      </c>
      <c r="E39" s="1" t="s">
        <v>85</v>
      </c>
      <c r="F39" s="1" t="s">
        <v>305</v>
      </c>
      <c r="G39" s="1" t="s">
        <v>306</v>
      </c>
      <c r="H39" s="1" t="s">
        <v>25</v>
      </c>
      <c r="I39" s="1" t="s">
        <v>58</v>
      </c>
      <c r="J39" s="1" t="s">
        <v>284</v>
      </c>
      <c r="K39" s="1" t="s">
        <v>160</v>
      </c>
      <c r="L39" s="1" t="s">
        <v>307</v>
      </c>
      <c r="M39" s="1" t="s">
        <v>15</v>
      </c>
      <c r="N39" s="1" t="s">
        <v>308</v>
      </c>
      <c r="O39" s="1" t="s">
        <v>18</v>
      </c>
      <c r="P39" s="1" t="s">
        <v>267</v>
      </c>
      <c r="Q39" s="1" t="s">
        <v>309</v>
      </c>
      <c r="R39" s="28" t="n">
        <v>113.328</v>
      </c>
      <c r="S39" s="28" t="n">
        <v>9</v>
      </c>
      <c r="T39" s="28" t="n">
        <v>0.2</v>
      </c>
      <c r="U39" s="28" t="n">
        <v>35.415</v>
      </c>
      <c r="V39" s="1" t="s">
        <v>20</v>
      </c>
    </row>
    <row r="40" customFormat="false" ht="15" hidden="false" customHeight="true" outlineLevel="0" collapsed="false">
      <c r="A40" s="1" t="s">
        <v>310</v>
      </c>
      <c r="B40" s="1" t="s">
        <v>302</v>
      </c>
      <c r="C40" s="1" t="s">
        <v>303</v>
      </c>
      <c r="D40" s="1" t="s">
        <v>304</v>
      </c>
      <c r="E40" s="1" t="s">
        <v>85</v>
      </c>
      <c r="F40" s="1" t="s">
        <v>305</v>
      </c>
      <c r="G40" s="1" t="s">
        <v>306</v>
      </c>
      <c r="H40" s="1" t="s">
        <v>25</v>
      </c>
      <c r="I40" s="1" t="s">
        <v>58</v>
      </c>
      <c r="J40" s="1" t="s">
        <v>284</v>
      </c>
      <c r="K40" s="1" t="s">
        <v>160</v>
      </c>
      <c r="L40" s="1" t="s">
        <v>307</v>
      </c>
      <c r="M40" s="1" t="s">
        <v>15</v>
      </c>
      <c r="N40" s="1" t="s">
        <v>311</v>
      </c>
      <c r="O40" s="1" t="s">
        <v>14</v>
      </c>
      <c r="P40" s="1" t="s">
        <v>63</v>
      </c>
      <c r="Q40" s="1" t="s">
        <v>312</v>
      </c>
      <c r="R40" s="28" t="n">
        <v>532.3992</v>
      </c>
      <c r="S40" s="28" t="n">
        <v>3</v>
      </c>
      <c r="T40" s="28" t="n">
        <v>0.32</v>
      </c>
      <c r="U40" s="28" t="n">
        <v>-46.9764</v>
      </c>
      <c r="V40" s="1" t="s">
        <v>20</v>
      </c>
    </row>
    <row r="41" customFormat="false" ht="15" hidden="false" customHeight="true" outlineLevel="0" collapsed="false">
      <c r="A41" s="1" t="s">
        <v>313</v>
      </c>
      <c r="B41" s="1" t="s">
        <v>302</v>
      </c>
      <c r="C41" s="1" t="s">
        <v>303</v>
      </c>
      <c r="D41" s="1" t="s">
        <v>304</v>
      </c>
      <c r="E41" s="1" t="s">
        <v>85</v>
      </c>
      <c r="F41" s="1" t="s">
        <v>305</v>
      </c>
      <c r="G41" s="1" t="s">
        <v>306</v>
      </c>
      <c r="H41" s="1" t="s">
        <v>25</v>
      </c>
      <c r="I41" s="1" t="s">
        <v>58</v>
      </c>
      <c r="J41" s="1" t="s">
        <v>284</v>
      </c>
      <c r="K41" s="1" t="s">
        <v>160</v>
      </c>
      <c r="L41" s="1" t="s">
        <v>307</v>
      </c>
      <c r="M41" s="1" t="s">
        <v>15</v>
      </c>
      <c r="N41" s="1" t="s">
        <v>314</v>
      </c>
      <c r="O41" s="1" t="s">
        <v>14</v>
      </c>
      <c r="P41" s="1" t="s">
        <v>67</v>
      </c>
      <c r="Q41" s="1" t="s">
        <v>315</v>
      </c>
      <c r="R41" s="28" t="n">
        <v>212.058</v>
      </c>
      <c r="S41" s="28" t="n">
        <v>3</v>
      </c>
      <c r="T41" s="28" t="n">
        <v>0.3</v>
      </c>
      <c r="U41" s="28" t="n">
        <v>-15.147</v>
      </c>
      <c r="V41" s="1" t="s">
        <v>20</v>
      </c>
    </row>
    <row r="42" customFormat="false" ht="15" hidden="false" customHeight="true" outlineLevel="0" collapsed="false">
      <c r="A42" s="1" t="s">
        <v>316</v>
      </c>
      <c r="B42" s="1" t="s">
        <v>302</v>
      </c>
      <c r="C42" s="1" t="s">
        <v>303</v>
      </c>
      <c r="D42" s="1" t="s">
        <v>304</v>
      </c>
      <c r="E42" s="1" t="s">
        <v>85</v>
      </c>
      <c r="F42" s="1" t="s">
        <v>305</v>
      </c>
      <c r="G42" s="1" t="s">
        <v>306</v>
      </c>
      <c r="H42" s="1" t="s">
        <v>25</v>
      </c>
      <c r="I42" s="1" t="s">
        <v>58</v>
      </c>
      <c r="J42" s="1" t="s">
        <v>284</v>
      </c>
      <c r="K42" s="1" t="s">
        <v>160</v>
      </c>
      <c r="L42" s="1" t="s">
        <v>307</v>
      </c>
      <c r="M42" s="1" t="s">
        <v>15</v>
      </c>
      <c r="N42" s="1" t="s">
        <v>317</v>
      </c>
      <c r="O42" s="1" t="s">
        <v>22</v>
      </c>
      <c r="P42" s="1" t="s">
        <v>114</v>
      </c>
      <c r="Q42" s="1" t="s">
        <v>318</v>
      </c>
      <c r="R42" s="28" t="n">
        <v>371.168</v>
      </c>
      <c r="S42" s="28" t="n">
        <v>4</v>
      </c>
      <c r="T42" s="28" t="n">
        <v>0.2</v>
      </c>
      <c r="U42" s="28" t="n">
        <v>41.7564</v>
      </c>
      <c r="V42" s="1" t="s">
        <v>20</v>
      </c>
    </row>
    <row r="43" customFormat="false" ht="15" hidden="false" customHeight="true" outlineLevel="0" collapsed="false">
      <c r="A43" s="1" t="s">
        <v>319</v>
      </c>
      <c r="B43" s="1" t="s">
        <v>320</v>
      </c>
      <c r="C43" s="1" t="s">
        <v>321</v>
      </c>
      <c r="D43" s="1" t="s">
        <v>322</v>
      </c>
      <c r="E43" s="1" t="s">
        <v>85</v>
      </c>
      <c r="F43" s="1" t="s">
        <v>323</v>
      </c>
      <c r="G43" s="1" t="s">
        <v>324</v>
      </c>
      <c r="H43" s="1" t="s">
        <v>21</v>
      </c>
      <c r="I43" s="1" t="s">
        <v>58</v>
      </c>
      <c r="J43" s="1" t="s">
        <v>325</v>
      </c>
      <c r="K43" s="1" t="s">
        <v>326</v>
      </c>
      <c r="L43" s="1" t="s">
        <v>327</v>
      </c>
      <c r="M43" s="1" t="s">
        <v>15</v>
      </c>
      <c r="N43" s="1" t="s">
        <v>328</v>
      </c>
      <c r="O43" s="1" t="s">
        <v>22</v>
      </c>
      <c r="P43" s="1" t="s">
        <v>114</v>
      </c>
      <c r="Q43" s="1" t="s">
        <v>329</v>
      </c>
      <c r="R43" s="28" t="n">
        <v>147.168</v>
      </c>
      <c r="S43" s="28" t="n">
        <v>4</v>
      </c>
      <c r="T43" s="28" t="n">
        <v>0.2</v>
      </c>
      <c r="U43" s="28" t="n">
        <v>16.5564</v>
      </c>
      <c r="V43" s="1" t="s">
        <v>27</v>
      </c>
    </row>
    <row r="44" customFormat="false" ht="15" hidden="false" customHeight="true" outlineLevel="0" collapsed="false">
      <c r="A44" s="1" t="s">
        <v>330</v>
      </c>
      <c r="B44" s="1" t="s">
        <v>331</v>
      </c>
      <c r="C44" s="1" t="s">
        <v>332</v>
      </c>
      <c r="D44" s="1" t="s">
        <v>333</v>
      </c>
      <c r="E44" s="1" t="s">
        <v>85</v>
      </c>
      <c r="F44" s="1" t="s">
        <v>334</v>
      </c>
      <c r="G44" s="1" t="s">
        <v>335</v>
      </c>
      <c r="H44" s="1" t="s">
        <v>21</v>
      </c>
      <c r="I44" s="1" t="s">
        <v>58</v>
      </c>
      <c r="J44" s="1" t="s">
        <v>75</v>
      </c>
      <c r="K44" s="1" t="s">
        <v>76</v>
      </c>
      <c r="L44" s="1" t="s">
        <v>244</v>
      </c>
      <c r="M44" s="1" t="s">
        <v>26</v>
      </c>
      <c r="N44" s="1" t="s">
        <v>336</v>
      </c>
      <c r="O44" s="1" t="s">
        <v>18</v>
      </c>
      <c r="P44" s="1" t="s">
        <v>96</v>
      </c>
      <c r="Q44" s="1" t="s">
        <v>337</v>
      </c>
      <c r="R44" s="28" t="n">
        <v>77.88</v>
      </c>
      <c r="S44" s="28" t="n">
        <v>2</v>
      </c>
      <c r="T44" s="28" t="n">
        <v>0</v>
      </c>
      <c r="U44" s="28" t="n">
        <v>3.894</v>
      </c>
      <c r="V44" s="1" t="s">
        <v>24</v>
      </c>
    </row>
    <row r="45" customFormat="false" ht="15" hidden="false" customHeight="true" outlineLevel="0" collapsed="false">
      <c r="A45" s="1" t="s">
        <v>338</v>
      </c>
      <c r="B45" s="1" t="s">
        <v>339</v>
      </c>
      <c r="C45" s="1" t="s">
        <v>340</v>
      </c>
      <c r="D45" s="1" t="s">
        <v>341</v>
      </c>
      <c r="E45" s="1" t="s">
        <v>85</v>
      </c>
      <c r="F45" s="1" t="s">
        <v>342</v>
      </c>
      <c r="G45" s="1" t="s">
        <v>343</v>
      </c>
      <c r="H45" s="1" t="s">
        <v>21</v>
      </c>
      <c r="I45" s="1" t="s">
        <v>58</v>
      </c>
      <c r="J45" s="1" t="s">
        <v>344</v>
      </c>
      <c r="K45" s="1" t="s">
        <v>89</v>
      </c>
      <c r="L45" s="1" t="s">
        <v>345</v>
      </c>
      <c r="M45" s="1" t="s">
        <v>23</v>
      </c>
      <c r="N45" s="1" t="s">
        <v>346</v>
      </c>
      <c r="O45" s="1" t="s">
        <v>18</v>
      </c>
      <c r="P45" s="1" t="s">
        <v>96</v>
      </c>
      <c r="Q45" s="1" t="s">
        <v>347</v>
      </c>
      <c r="R45" s="28" t="n">
        <v>95.616</v>
      </c>
      <c r="S45" s="28" t="n">
        <v>2</v>
      </c>
      <c r="T45" s="28" t="n">
        <v>0.2</v>
      </c>
      <c r="U45" s="28" t="n">
        <v>9.5616</v>
      </c>
      <c r="V45" s="1" t="s">
        <v>27</v>
      </c>
    </row>
    <row r="46" customFormat="false" ht="15" hidden="false" customHeight="true" outlineLevel="0" collapsed="false">
      <c r="A46" s="1" t="s">
        <v>348</v>
      </c>
      <c r="B46" s="1" t="s">
        <v>349</v>
      </c>
      <c r="C46" s="1" t="s">
        <v>350</v>
      </c>
      <c r="D46" s="1" t="s">
        <v>351</v>
      </c>
      <c r="E46" s="1" t="s">
        <v>291</v>
      </c>
      <c r="F46" s="1" t="s">
        <v>352</v>
      </c>
      <c r="G46" s="1" t="s">
        <v>353</v>
      </c>
      <c r="H46" s="1" t="s">
        <v>21</v>
      </c>
      <c r="I46" s="1" t="s">
        <v>58</v>
      </c>
      <c r="J46" s="1" t="s">
        <v>354</v>
      </c>
      <c r="K46" s="1" t="s">
        <v>355</v>
      </c>
      <c r="L46" s="1" t="s">
        <v>356</v>
      </c>
      <c r="M46" s="1" t="s">
        <v>15</v>
      </c>
      <c r="N46" s="1" t="s">
        <v>357</v>
      </c>
      <c r="O46" s="1" t="s">
        <v>22</v>
      </c>
      <c r="P46" s="1" t="s">
        <v>249</v>
      </c>
      <c r="Q46" s="1" t="s">
        <v>358</v>
      </c>
      <c r="R46" s="28" t="n">
        <v>45.98</v>
      </c>
      <c r="S46" s="28" t="n">
        <v>2</v>
      </c>
      <c r="T46" s="28" t="n">
        <v>0</v>
      </c>
      <c r="U46" s="28" t="n">
        <v>19.7714</v>
      </c>
      <c r="V46" s="1" t="s">
        <v>24</v>
      </c>
    </row>
    <row r="47" customFormat="false" ht="15" hidden="false" customHeight="true" outlineLevel="0" collapsed="false">
      <c r="A47" s="1" t="s">
        <v>359</v>
      </c>
      <c r="B47" s="1" t="s">
        <v>349</v>
      </c>
      <c r="C47" s="1" t="s">
        <v>350</v>
      </c>
      <c r="D47" s="1" t="s">
        <v>351</v>
      </c>
      <c r="E47" s="1" t="s">
        <v>291</v>
      </c>
      <c r="F47" s="1" t="s">
        <v>352</v>
      </c>
      <c r="G47" s="1" t="s">
        <v>353</v>
      </c>
      <c r="H47" s="1" t="s">
        <v>21</v>
      </c>
      <c r="I47" s="1" t="s">
        <v>58</v>
      </c>
      <c r="J47" s="1" t="s">
        <v>354</v>
      </c>
      <c r="K47" s="1" t="s">
        <v>355</v>
      </c>
      <c r="L47" s="1" t="s">
        <v>356</v>
      </c>
      <c r="M47" s="1" t="s">
        <v>15</v>
      </c>
      <c r="N47" s="1" t="s">
        <v>360</v>
      </c>
      <c r="O47" s="1" t="s">
        <v>18</v>
      </c>
      <c r="P47" s="1" t="s">
        <v>118</v>
      </c>
      <c r="Q47" s="1" t="s">
        <v>361</v>
      </c>
      <c r="R47" s="28" t="n">
        <v>17.46</v>
      </c>
      <c r="S47" s="28" t="n">
        <v>2</v>
      </c>
      <c r="T47" s="28" t="n">
        <v>0</v>
      </c>
      <c r="U47" s="28" t="n">
        <v>8.2062</v>
      </c>
      <c r="V47" s="1" t="s">
        <v>24</v>
      </c>
    </row>
    <row r="48" customFormat="false" ht="15" hidden="false" customHeight="true" outlineLevel="0" collapsed="false">
      <c r="A48" s="1" t="s">
        <v>362</v>
      </c>
      <c r="B48" s="1" t="s">
        <v>363</v>
      </c>
      <c r="C48" s="1" t="s">
        <v>364</v>
      </c>
      <c r="D48" s="1" t="s">
        <v>365</v>
      </c>
      <c r="E48" s="1" t="s">
        <v>55</v>
      </c>
      <c r="F48" s="1" t="s">
        <v>366</v>
      </c>
      <c r="G48" s="1" t="s">
        <v>367</v>
      </c>
      <c r="H48" s="1" t="s">
        <v>17</v>
      </c>
      <c r="I48" s="1" t="s">
        <v>58</v>
      </c>
      <c r="J48" s="1" t="s">
        <v>368</v>
      </c>
      <c r="K48" s="1" t="s">
        <v>369</v>
      </c>
      <c r="L48" s="1" t="s">
        <v>370</v>
      </c>
      <c r="M48" s="1" t="s">
        <v>15</v>
      </c>
      <c r="N48" s="1" t="s">
        <v>371</v>
      </c>
      <c r="O48" s="1" t="s">
        <v>18</v>
      </c>
      <c r="P48" s="1" t="s">
        <v>96</v>
      </c>
      <c r="Q48" s="1" t="s">
        <v>372</v>
      </c>
      <c r="R48" s="28" t="n">
        <v>211.96</v>
      </c>
      <c r="S48" s="28" t="n">
        <v>4</v>
      </c>
      <c r="T48" s="28" t="n">
        <v>0</v>
      </c>
      <c r="U48" s="28" t="n">
        <v>8.4784</v>
      </c>
      <c r="V48" s="1" t="s">
        <v>16</v>
      </c>
    </row>
    <row r="49" customFormat="false" ht="15" hidden="false" customHeight="true" outlineLevel="0" collapsed="false">
      <c r="A49" s="1" t="s">
        <v>373</v>
      </c>
      <c r="B49" s="1" t="s">
        <v>374</v>
      </c>
      <c r="C49" s="1" t="s">
        <v>375</v>
      </c>
      <c r="D49" s="1" t="s">
        <v>376</v>
      </c>
      <c r="E49" s="1" t="s">
        <v>85</v>
      </c>
      <c r="F49" s="1" t="s">
        <v>377</v>
      </c>
      <c r="G49" s="1" t="s">
        <v>378</v>
      </c>
      <c r="H49" s="1" t="s">
        <v>17</v>
      </c>
      <c r="I49" s="1" t="s">
        <v>58</v>
      </c>
      <c r="J49" s="1" t="s">
        <v>379</v>
      </c>
      <c r="K49" s="1" t="s">
        <v>380</v>
      </c>
      <c r="L49" s="1" t="s">
        <v>381</v>
      </c>
      <c r="M49" s="1" t="s">
        <v>19</v>
      </c>
      <c r="N49" s="1" t="s">
        <v>382</v>
      </c>
      <c r="O49" s="1" t="s">
        <v>22</v>
      </c>
      <c r="P49" s="1" t="s">
        <v>249</v>
      </c>
      <c r="Q49" s="1" t="s">
        <v>383</v>
      </c>
      <c r="R49" s="28" t="n">
        <v>45</v>
      </c>
      <c r="S49" s="28" t="n">
        <v>3</v>
      </c>
      <c r="T49" s="28" t="n">
        <v>0</v>
      </c>
      <c r="U49" s="28" t="n">
        <v>4.95</v>
      </c>
      <c r="V49" s="1" t="s">
        <v>24</v>
      </c>
    </row>
    <row r="50" customFormat="false" ht="15" hidden="false" customHeight="true" outlineLevel="0" collapsed="false">
      <c r="A50" s="1" t="s">
        <v>384</v>
      </c>
      <c r="B50" s="1" t="s">
        <v>374</v>
      </c>
      <c r="C50" s="1" t="s">
        <v>375</v>
      </c>
      <c r="D50" s="1" t="s">
        <v>376</v>
      </c>
      <c r="E50" s="1" t="s">
        <v>85</v>
      </c>
      <c r="F50" s="1" t="s">
        <v>377</v>
      </c>
      <c r="G50" s="1" t="s">
        <v>378</v>
      </c>
      <c r="H50" s="1" t="s">
        <v>17</v>
      </c>
      <c r="I50" s="1" t="s">
        <v>58</v>
      </c>
      <c r="J50" s="1" t="s">
        <v>379</v>
      </c>
      <c r="K50" s="1" t="s">
        <v>380</v>
      </c>
      <c r="L50" s="1" t="s">
        <v>381</v>
      </c>
      <c r="M50" s="1" t="s">
        <v>19</v>
      </c>
      <c r="N50" s="1" t="s">
        <v>385</v>
      </c>
      <c r="O50" s="1" t="s">
        <v>22</v>
      </c>
      <c r="P50" s="1" t="s">
        <v>114</v>
      </c>
      <c r="Q50" s="1" t="s">
        <v>386</v>
      </c>
      <c r="R50" s="28" t="n">
        <v>21.8</v>
      </c>
      <c r="S50" s="28" t="n">
        <v>2</v>
      </c>
      <c r="T50" s="28" t="n">
        <v>0</v>
      </c>
      <c r="U50" s="28" t="n">
        <v>6.104</v>
      </c>
      <c r="V50" s="1" t="s">
        <v>24</v>
      </c>
    </row>
    <row r="51" customFormat="false" ht="15" hidden="false" customHeight="true" outlineLevel="0" collapsed="false">
      <c r="A51" s="1" t="s">
        <v>387</v>
      </c>
      <c r="B51" s="1" t="s">
        <v>388</v>
      </c>
      <c r="C51" s="1" t="s">
        <v>389</v>
      </c>
      <c r="D51" s="1" t="s">
        <v>390</v>
      </c>
      <c r="E51" s="1" t="s">
        <v>85</v>
      </c>
      <c r="F51" s="1" t="s">
        <v>391</v>
      </c>
      <c r="G51" s="1" t="s">
        <v>392</v>
      </c>
      <c r="H51" s="1" t="s">
        <v>17</v>
      </c>
      <c r="I51" s="1" t="s">
        <v>58</v>
      </c>
      <c r="J51" s="1" t="s">
        <v>393</v>
      </c>
      <c r="K51" s="1" t="s">
        <v>394</v>
      </c>
      <c r="L51" s="1" t="s">
        <v>395</v>
      </c>
      <c r="M51" s="1" t="s">
        <v>15</v>
      </c>
      <c r="N51" s="1" t="s">
        <v>396</v>
      </c>
      <c r="O51" s="1" t="s">
        <v>18</v>
      </c>
      <c r="P51" s="1" t="s">
        <v>118</v>
      </c>
      <c r="Q51" s="1" t="s">
        <v>397</v>
      </c>
      <c r="R51" s="28" t="n">
        <v>38.22</v>
      </c>
      <c r="S51" s="28" t="n">
        <v>6</v>
      </c>
      <c r="T51" s="28" t="n">
        <v>0</v>
      </c>
      <c r="U51" s="28" t="n">
        <v>17.9634</v>
      </c>
      <c r="V51" s="1" t="s">
        <v>20</v>
      </c>
    </row>
    <row r="52" customFormat="false" ht="15" hidden="false" customHeight="true" outlineLevel="0" collapsed="false">
      <c r="A52" s="1" t="s">
        <v>398</v>
      </c>
      <c r="B52" s="1" t="s">
        <v>388</v>
      </c>
      <c r="C52" s="1" t="s">
        <v>389</v>
      </c>
      <c r="D52" s="1" t="s">
        <v>390</v>
      </c>
      <c r="E52" s="1" t="s">
        <v>85</v>
      </c>
      <c r="F52" s="1" t="s">
        <v>391</v>
      </c>
      <c r="G52" s="1" t="s">
        <v>392</v>
      </c>
      <c r="H52" s="1" t="s">
        <v>17</v>
      </c>
      <c r="I52" s="1" t="s">
        <v>58</v>
      </c>
      <c r="J52" s="1" t="s">
        <v>393</v>
      </c>
      <c r="K52" s="1" t="s">
        <v>394</v>
      </c>
      <c r="L52" s="1" t="s">
        <v>395</v>
      </c>
      <c r="M52" s="1" t="s">
        <v>15</v>
      </c>
      <c r="N52" s="1" t="s">
        <v>399</v>
      </c>
      <c r="O52" s="1" t="s">
        <v>18</v>
      </c>
      <c r="P52" s="1" t="s">
        <v>79</v>
      </c>
      <c r="Q52" s="1" t="s">
        <v>400</v>
      </c>
      <c r="R52" s="28" t="n">
        <v>75.18</v>
      </c>
      <c r="S52" s="28" t="n">
        <v>6</v>
      </c>
      <c r="T52" s="28" t="n">
        <v>0</v>
      </c>
      <c r="U52" s="28" t="n">
        <v>35.3346</v>
      </c>
      <c r="V52" s="1" t="s">
        <v>20</v>
      </c>
    </row>
    <row r="53" customFormat="false" ht="15" hidden="false" customHeight="true" outlineLevel="0" collapsed="false">
      <c r="A53" s="1" t="s">
        <v>401</v>
      </c>
      <c r="B53" s="1" t="s">
        <v>388</v>
      </c>
      <c r="C53" s="1" t="s">
        <v>389</v>
      </c>
      <c r="D53" s="1" t="s">
        <v>390</v>
      </c>
      <c r="E53" s="1" t="s">
        <v>85</v>
      </c>
      <c r="F53" s="1" t="s">
        <v>391</v>
      </c>
      <c r="G53" s="1" t="s">
        <v>392</v>
      </c>
      <c r="H53" s="1" t="s">
        <v>17</v>
      </c>
      <c r="I53" s="1" t="s">
        <v>58</v>
      </c>
      <c r="J53" s="1" t="s">
        <v>393</v>
      </c>
      <c r="K53" s="1" t="s">
        <v>394</v>
      </c>
      <c r="L53" s="1" t="s">
        <v>395</v>
      </c>
      <c r="M53" s="1" t="s">
        <v>15</v>
      </c>
      <c r="N53" s="1" t="s">
        <v>402</v>
      </c>
      <c r="O53" s="1" t="s">
        <v>14</v>
      </c>
      <c r="P53" s="1" t="s">
        <v>106</v>
      </c>
      <c r="Q53" s="1" t="s">
        <v>403</v>
      </c>
      <c r="R53" s="28" t="n">
        <v>6.16</v>
      </c>
      <c r="S53" s="28" t="n">
        <v>2</v>
      </c>
      <c r="T53" s="28" t="n">
        <v>0</v>
      </c>
      <c r="U53" s="28" t="n">
        <v>2.9568</v>
      </c>
      <c r="V53" s="1" t="s">
        <v>20</v>
      </c>
    </row>
    <row r="54" customFormat="false" ht="15" hidden="false" customHeight="true" outlineLevel="0" collapsed="false">
      <c r="A54" s="1" t="s">
        <v>404</v>
      </c>
      <c r="B54" s="1" t="s">
        <v>388</v>
      </c>
      <c r="C54" s="1" t="s">
        <v>389</v>
      </c>
      <c r="D54" s="1" t="s">
        <v>390</v>
      </c>
      <c r="E54" s="1" t="s">
        <v>85</v>
      </c>
      <c r="F54" s="1" t="s">
        <v>391</v>
      </c>
      <c r="G54" s="1" t="s">
        <v>392</v>
      </c>
      <c r="H54" s="1" t="s">
        <v>17</v>
      </c>
      <c r="I54" s="1" t="s">
        <v>58</v>
      </c>
      <c r="J54" s="1" t="s">
        <v>393</v>
      </c>
      <c r="K54" s="1" t="s">
        <v>394</v>
      </c>
      <c r="L54" s="1" t="s">
        <v>395</v>
      </c>
      <c r="M54" s="1" t="s">
        <v>15</v>
      </c>
      <c r="N54" s="1" t="s">
        <v>405</v>
      </c>
      <c r="O54" s="1" t="s">
        <v>14</v>
      </c>
      <c r="P54" s="1" t="s">
        <v>67</v>
      </c>
      <c r="Q54" s="1" t="s">
        <v>406</v>
      </c>
      <c r="R54" s="28" t="n">
        <v>89.99</v>
      </c>
      <c r="S54" s="28" t="n">
        <v>1</v>
      </c>
      <c r="T54" s="28" t="n">
        <v>0</v>
      </c>
      <c r="U54" s="28" t="n">
        <v>17.0981</v>
      </c>
      <c r="V54" s="1" t="s">
        <v>20</v>
      </c>
    </row>
    <row r="55" customFormat="false" ht="15" hidden="false" customHeight="true" outlineLevel="0" collapsed="false">
      <c r="A55" s="1" t="s">
        <v>407</v>
      </c>
      <c r="B55" s="1" t="s">
        <v>408</v>
      </c>
      <c r="C55" s="1" t="s">
        <v>409</v>
      </c>
      <c r="D55" s="1" t="s">
        <v>410</v>
      </c>
      <c r="E55" s="1" t="s">
        <v>85</v>
      </c>
      <c r="F55" s="1" t="s">
        <v>411</v>
      </c>
      <c r="G55" s="1" t="s">
        <v>412</v>
      </c>
      <c r="H55" s="1" t="s">
        <v>21</v>
      </c>
      <c r="I55" s="1" t="s">
        <v>58</v>
      </c>
      <c r="J55" s="1" t="s">
        <v>413</v>
      </c>
      <c r="K55" s="1" t="s">
        <v>414</v>
      </c>
      <c r="L55" s="1" t="s">
        <v>415</v>
      </c>
      <c r="M55" s="1" t="s">
        <v>19</v>
      </c>
      <c r="N55" s="1" t="s">
        <v>416</v>
      </c>
      <c r="O55" s="1" t="s">
        <v>18</v>
      </c>
      <c r="P55" s="1" t="s">
        <v>417</v>
      </c>
      <c r="Q55" s="1" t="s">
        <v>418</v>
      </c>
      <c r="R55" s="28" t="n">
        <v>15.26</v>
      </c>
      <c r="S55" s="28" t="n">
        <v>7</v>
      </c>
      <c r="T55" s="28" t="n">
        <v>0</v>
      </c>
      <c r="U55" s="28" t="n">
        <v>6.2566</v>
      </c>
      <c r="V55" s="1" t="s">
        <v>24</v>
      </c>
    </row>
    <row r="56" customFormat="false" ht="15" hidden="false" customHeight="true" outlineLevel="0" collapsed="false">
      <c r="A56" s="1" t="s">
        <v>419</v>
      </c>
      <c r="B56" s="1" t="s">
        <v>408</v>
      </c>
      <c r="C56" s="1" t="s">
        <v>409</v>
      </c>
      <c r="D56" s="1" t="s">
        <v>410</v>
      </c>
      <c r="E56" s="1" t="s">
        <v>85</v>
      </c>
      <c r="F56" s="1" t="s">
        <v>411</v>
      </c>
      <c r="G56" s="1" t="s">
        <v>412</v>
      </c>
      <c r="H56" s="1" t="s">
        <v>21</v>
      </c>
      <c r="I56" s="1" t="s">
        <v>58</v>
      </c>
      <c r="J56" s="1" t="s">
        <v>413</v>
      </c>
      <c r="K56" s="1" t="s">
        <v>414</v>
      </c>
      <c r="L56" s="1" t="s">
        <v>415</v>
      </c>
      <c r="M56" s="1" t="s">
        <v>19</v>
      </c>
      <c r="N56" s="1" t="s">
        <v>420</v>
      </c>
      <c r="O56" s="1" t="s">
        <v>22</v>
      </c>
      <c r="P56" s="1" t="s">
        <v>114</v>
      </c>
      <c r="Q56" s="1" t="s">
        <v>421</v>
      </c>
      <c r="R56" s="28" t="n">
        <v>1029.95</v>
      </c>
      <c r="S56" s="28" t="n">
        <v>5</v>
      </c>
      <c r="T56" s="28" t="n">
        <v>0</v>
      </c>
      <c r="U56" s="28" t="n">
        <v>298.6855</v>
      </c>
      <c r="V56" s="1" t="s">
        <v>24</v>
      </c>
    </row>
    <row r="57" customFormat="false" ht="15" hidden="false" customHeight="true" outlineLevel="0" collapsed="false">
      <c r="A57" s="1" t="s">
        <v>422</v>
      </c>
      <c r="B57" s="1" t="s">
        <v>423</v>
      </c>
      <c r="C57" s="1" t="s">
        <v>424</v>
      </c>
      <c r="D57" s="1" t="s">
        <v>425</v>
      </c>
      <c r="E57" s="1" t="s">
        <v>291</v>
      </c>
      <c r="F57" s="1" t="s">
        <v>426</v>
      </c>
      <c r="G57" s="1" t="s">
        <v>427</v>
      </c>
      <c r="H57" s="1" t="s">
        <v>17</v>
      </c>
      <c r="I57" s="1" t="s">
        <v>58</v>
      </c>
      <c r="J57" s="1" t="s">
        <v>428</v>
      </c>
      <c r="K57" s="1" t="s">
        <v>414</v>
      </c>
      <c r="L57" s="1" t="s">
        <v>429</v>
      </c>
      <c r="M57" s="1" t="s">
        <v>19</v>
      </c>
      <c r="N57" s="1" t="s">
        <v>430</v>
      </c>
      <c r="O57" s="1" t="s">
        <v>18</v>
      </c>
      <c r="P57" s="1" t="s">
        <v>96</v>
      </c>
      <c r="Q57" s="1" t="s">
        <v>431</v>
      </c>
      <c r="R57" s="28" t="n">
        <v>208.56</v>
      </c>
      <c r="S57" s="28" t="n">
        <v>6</v>
      </c>
      <c r="T57" s="28" t="n">
        <v>0</v>
      </c>
      <c r="U57" s="28" t="n">
        <v>52.14</v>
      </c>
      <c r="V57" s="1" t="s">
        <v>24</v>
      </c>
    </row>
    <row r="58" customFormat="false" ht="15" hidden="false" customHeight="true" outlineLevel="0" collapsed="false">
      <c r="A58" s="1" t="s">
        <v>432</v>
      </c>
      <c r="B58" s="1" t="s">
        <v>423</v>
      </c>
      <c r="C58" s="1" t="s">
        <v>424</v>
      </c>
      <c r="D58" s="1" t="s">
        <v>425</v>
      </c>
      <c r="E58" s="1" t="s">
        <v>291</v>
      </c>
      <c r="F58" s="1" t="s">
        <v>426</v>
      </c>
      <c r="G58" s="1" t="s">
        <v>427</v>
      </c>
      <c r="H58" s="1" t="s">
        <v>17</v>
      </c>
      <c r="I58" s="1" t="s">
        <v>58</v>
      </c>
      <c r="J58" s="1" t="s">
        <v>428</v>
      </c>
      <c r="K58" s="1" t="s">
        <v>414</v>
      </c>
      <c r="L58" s="1" t="s">
        <v>429</v>
      </c>
      <c r="M58" s="1" t="s">
        <v>19</v>
      </c>
      <c r="N58" s="1" t="s">
        <v>433</v>
      </c>
      <c r="O58" s="1" t="s">
        <v>18</v>
      </c>
      <c r="P58" s="1" t="s">
        <v>140</v>
      </c>
      <c r="Q58" s="1" t="s">
        <v>434</v>
      </c>
      <c r="R58" s="28" t="n">
        <v>32.4</v>
      </c>
      <c r="S58" s="28" t="n">
        <v>5</v>
      </c>
      <c r="T58" s="28" t="n">
        <v>0</v>
      </c>
      <c r="U58" s="28" t="n">
        <v>15.552</v>
      </c>
      <c r="V58" s="1" t="s">
        <v>24</v>
      </c>
    </row>
    <row r="59" customFormat="false" ht="15" hidden="false" customHeight="true" outlineLevel="0" collapsed="false">
      <c r="A59" s="1" t="s">
        <v>435</v>
      </c>
      <c r="B59" s="1" t="s">
        <v>423</v>
      </c>
      <c r="C59" s="1" t="s">
        <v>424</v>
      </c>
      <c r="D59" s="1" t="s">
        <v>425</v>
      </c>
      <c r="E59" s="1" t="s">
        <v>291</v>
      </c>
      <c r="F59" s="1" t="s">
        <v>426</v>
      </c>
      <c r="G59" s="1" t="s">
        <v>427</v>
      </c>
      <c r="H59" s="1" t="s">
        <v>17</v>
      </c>
      <c r="I59" s="1" t="s">
        <v>58</v>
      </c>
      <c r="J59" s="1" t="s">
        <v>428</v>
      </c>
      <c r="K59" s="1" t="s">
        <v>414</v>
      </c>
      <c r="L59" s="1" t="s">
        <v>429</v>
      </c>
      <c r="M59" s="1" t="s">
        <v>19</v>
      </c>
      <c r="N59" s="1" t="s">
        <v>436</v>
      </c>
      <c r="O59" s="1" t="s">
        <v>14</v>
      </c>
      <c r="P59" s="1" t="s">
        <v>67</v>
      </c>
      <c r="Q59" s="1" t="s">
        <v>437</v>
      </c>
      <c r="R59" s="28" t="n">
        <v>319.41</v>
      </c>
      <c r="S59" s="28" t="n">
        <v>5</v>
      </c>
      <c r="T59" s="28" t="n">
        <v>0.1</v>
      </c>
      <c r="U59" s="28" t="n">
        <v>7.098</v>
      </c>
      <c r="V59" s="1" t="s">
        <v>24</v>
      </c>
    </row>
    <row r="60" customFormat="false" ht="15" hidden="false" customHeight="true" outlineLevel="0" collapsed="false">
      <c r="A60" s="1" t="s">
        <v>438</v>
      </c>
      <c r="B60" s="1" t="s">
        <v>423</v>
      </c>
      <c r="C60" s="1" t="s">
        <v>424</v>
      </c>
      <c r="D60" s="1" t="s">
        <v>425</v>
      </c>
      <c r="E60" s="1" t="s">
        <v>291</v>
      </c>
      <c r="F60" s="1" t="s">
        <v>426</v>
      </c>
      <c r="G60" s="1" t="s">
        <v>427</v>
      </c>
      <c r="H60" s="1" t="s">
        <v>17</v>
      </c>
      <c r="I60" s="1" t="s">
        <v>58</v>
      </c>
      <c r="J60" s="1" t="s">
        <v>428</v>
      </c>
      <c r="K60" s="1" t="s">
        <v>414</v>
      </c>
      <c r="L60" s="1" t="s">
        <v>429</v>
      </c>
      <c r="M60" s="1" t="s">
        <v>19</v>
      </c>
      <c r="N60" s="1" t="s">
        <v>439</v>
      </c>
      <c r="O60" s="1" t="s">
        <v>18</v>
      </c>
      <c r="P60" s="1" t="s">
        <v>140</v>
      </c>
      <c r="Q60" s="1" t="s">
        <v>440</v>
      </c>
      <c r="R60" s="28" t="n">
        <v>14.56</v>
      </c>
      <c r="S60" s="28" t="n">
        <v>2</v>
      </c>
      <c r="T60" s="28" t="n">
        <v>0</v>
      </c>
      <c r="U60" s="28" t="n">
        <v>6.9888</v>
      </c>
      <c r="V60" s="1" t="s">
        <v>24</v>
      </c>
    </row>
    <row r="61" customFormat="false" ht="15" hidden="false" customHeight="true" outlineLevel="0" collapsed="false">
      <c r="A61" s="1" t="s">
        <v>441</v>
      </c>
      <c r="B61" s="1" t="s">
        <v>423</v>
      </c>
      <c r="C61" s="1" t="s">
        <v>424</v>
      </c>
      <c r="D61" s="1" t="s">
        <v>425</v>
      </c>
      <c r="E61" s="1" t="s">
        <v>291</v>
      </c>
      <c r="F61" s="1" t="s">
        <v>426</v>
      </c>
      <c r="G61" s="1" t="s">
        <v>427</v>
      </c>
      <c r="H61" s="1" t="s">
        <v>17</v>
      </c>
      <c r="I61" s="1" t="s">
        <v>58</v>
      </c>
      <c r="J61" s="1" t="s">
        <v>428</v>
      </c>
      <c r="K61" s="1" t="s">
        <v>414</v>
      </c>
      <c r="L61" s="1" t="s">
        <v>429</v>
      </c>
      <c r="M61" s="1" t="s">
        <v>19</v>
      </c>
      <c r="N61" s="1" t="s">
        <v>382</v>
      </c>
      <c r="O61" s="1" t="s">
        <v>22</v>
      </c>
      <c r="P61" s="1" t="s">
        <v>249</v>
      </c>
      <c r="Q61" s="1" t="s">
        <v>383</v>
      </c>
      <c r="R61" s="28" t="n">
        <v>30</v>
      </c>
      <c r="S61" s="28" t="n">
        <v>2</v>
      </c>
      <c r="T61" s="28" t="n">
        <v>0</v>
      </c>
      <c r="U61" s="28" t="n">
        <v>3.3</v>
      </c>
      <c r="V61" s="1" t="s">
        <v>24</v>
      </c>
    </row>
    <row r="62" customFormat="false" ht="15" hidden="false" customHeight="true" outlineLevel="0" collapsed="false">
      <c r="A62" s="1" t="s">
        <v>442</v>
      </c>
      <c r="B62" s="1" t="s">
        <v>423</v>
      </c>
      <c r="C62" s="1" t="s">
        <v>424</v>
      </c>
      <c r="D62" s="1" t="s">
        <v>425</v>
      </c>
      <c r="E62" s="1" t="s">
        <v>291</v>
      </c>
      <c r="F62" s="1" t="s">
        <v>426</v>
      </c>
      <c r="G62" s="1" t="s">
        <v>427</v>
      </c>
      <c r="H62" s="1" t="s">
        <v>17</v>
      </c>
      <c r="I62" s="1" t="s">
        <v>58</v>
      </c>
      <c r="J62" s="1" t="s">
        <v>428</v>
      </c>
      <c r="K62" s="1" t="s">
        <v>414</v>
      </c>
      <c r="L62" s="1" t="s">
        <v>429</v>
      </c>
      <c r="M62" s="1" t="s">
        <v>19</v>
      </c>
      <c r="N62" s="1" t="s">
        <v>443</v>
      </c>
      <c r="O62" s="1" t="s">
        <v>18</v>
      </c>
      <c r="P62" s="1" t="s">
        <v>118</v>
      </c>
      <c r="Q62" s="1" t="s">
        <v>444</v>
      </c>
      <c r="R62" s="28" t="n">
        <v>48.48</v>
      </c>
      <c r="S62" s="28" t="n">
        <v>4</v>
      </c>
      <c r="T62" s="28" t="n">
        <v>0.2</v>
      </c>
      <c r="U62" s="28" t="n">
        <v>16.362</v>
      </c>
      <c r="V62" s="1" t="s">
        <v>24</v>
      </c>
    </row>
    <row r="63" customFormat="false" ht="15" hidden="false" customHeight="true" outlineLevel="0" collapsed="false">
      <c r="A63" s="1" t="s">
        <v>445</v>
      </c>
      <c r="B63" s="1" t="s">
        <v>423</v>
      </c>
      <c r="C63" s="1" t="s">
        <v>424</v>
      </c>
      <c r="D63" s="1" t="s">
        <v>425</v>
      </c>
      <c r="E63" s="1" t="s">
        <v>291</v>
      </c>
      <c r="F63" s="1" t="s">
        <v>426</v>
      </c>
      <c r="G63" s="1" t="s">
        <v>427</v>
      </c>
      <c r="H63" s="1" t="s">
        <v>17</v>
      </c>
      <c r="I63" s="1" t="s">
        <v>58</v>
      </c>
      <c r="J63" s="1" t="s">
        <v>428</v>
      </c>
      <c r="K63" s="1" t="s">
        <v>414</v>
      </c>
      <c r="L63" s="1" t="s">
        <v>429</v>
      </c>
      <c r="M63" s="1" t="s">
        <v>19</v>
      </c>
      <c r="N63" s="1" t="s">
        <v>446</v>
      </c>
      <c r="O63" s="1" t="s">
        <v>18</v>
      </c>
      <c r="P63" s="1" t="s">
        <v>110</v>
      </c>
      <c r="Q63" s="1" t="s">
        <v>447</v>
      </c>
      <c r="R63" s="28" t="n">
        <v>1.68</v>
      </c>
      <c r="S63" s="28" t="n">
        <v>1</v>
      </c>
      <c r="T63" s="28" t="n">
        <v>0</v>
      </c>
      <c r="U63" s="28" t="n">
        <v>0.84</v>
      </c>
      <c r="V63" s="1" t="s">
        <v>24</v>
      </c>
    </row>
    <row r="64" customFormat="false" ht="15" hidden="false" customHeight="true" outlineLevel="0" collapsed="false">
      <c r="A64" s="1" t="s">
        <v>448</v>
      </c>
      <c r="B64" s="1" t="s">
        <v>449</v>
      </c>
      <c r="C64" s="1" t="s">
        <v>450</v>
      </c>
      <c r="D64" s="1" t="s">
        <v>451</v>
      </c>
      <c r="E64" s="1" t="s">
        <v>85</v>
      </c>
      <c r="F64" s="1" t="s">
        <v>452</v>
      </c>
      <c r="G64" s="1" t="s">
        <v>453</v>
      </c>
      <c r="H64" s="1" t="s">
        <v>17</v>
      </c>
      <c r="I64" s="1" t="s">
        <v>58</v>
      </c>
      <c r="J64" s="1" t="s">
        <v>75</v>
      </c>
      <c r="K64" s="1" t="s">
        <v>76</v>
      </c>
      <c r="L64" s="1" t="s">
        <v>454</v>
      </c>
      <c r="M64" s="1" t="s">
        <v>26</v>
      </c>
      <c r="N64" s="1" t="s">
        <v>455</v>
      </c>
      <c r="O64" s="1" t="s">
        <v>22</v>
      </c>
      <c r="P64" s="1" t="s">
        <v>249</v>
      </c>
      <c r="Q64" s="1" t="s">
        <v>456</v>
      </c>
      <c r="R64" s="28" t="n">
        <v>13.98</v>
      </c>
      <c r="S64" s="28" t="n">
        <v>2</v>
      </c>
      <c r="T64" s="28" t="n">
        <v>0</v>
      </c>
      <c r="U64" s="28" t="n">
        <v>6.1512</v>
      </c>
      <c r="V64" s="1" t="s">
        <v>20</v>
      </c>
    </row>
    <row r="65" customFormat="false" ht="15" hidden="false" customHeight="true" outlineLevel="0" collapsed="false">
      <c r="A65" s="1" t="s">
        <v>457</v>
      </c>
      <c r="B65" s="1" t="s">
        <v>449</v>
      </c>
      <c r="C65" s="1" t="s">
        <v>450</v>
      </c>
      <c r="D65" s="1" t="s">
        <v>451</v>
      </c>
      <c r="E65" s="1" t="s">
        <v>85</v>
      </c>
      <c r="F65" s="1" t="s">
        <v>452</v>
      </c>
      <c r="G65" s="1" t="s">
        <v>453</v>
      </c>
      <c r="H65" s="1" t="s">
        <v>17</v>
      </c>
      <c r="I65" s="1" t="s">
        <v>58</v>
      </c>
      <c r="J65" s="1" t="s">
        <v>75</v>
      </c>
      <c r="K65" s="1" t="s">
        <v>76</v>
      </c>
      <c r="L65" s="1" t="s">
        <v>454</v>
      </c>
      <c r="M65" s="1" t="s">
        <v>26</v>
      </c>
      <c r="N65" s="1" t="s">
        <v>458</v>
      </c>
      <c r="O65" s="1" t="s">
        <v>18</v>
      </c>
      <c r="P65" s="1" t="s">
        <v>118</v>
      </c>
      <c r="Q65" s="1" t="s">
        <v>459</v>
      </c>
      <c r="R65" s="28" t="n">
        <v>25.824</v>
      </c>
      <c r="S65" s="28" t="n">
        <v>6</v>
      </c>
      <c r="T65" s="28" t="n">
        <v>0.2</v>
      </c>
      <c r="U65" s="28" t="n">
        <v>9.3612</v>
      </c>
      <c r="V65" s="1" t="s">
        <v>20</v>
      </c>
    </row>
    <row r="66" customFormat="false" ht="15" hidden="false" customHeight="true" outlineLevel="0" collapsed="false">
      <c r="A66" s="1" t="s">
        <v>460</v>
      </c>
      <c r="B66" s="1" t="s">
        <v>449</v>
      </c>
      <c r="C66" s="1" t="s">
        <v>450</v>
      </c>
      <c r="D66" s="1" t="s">
        <v>451</v>
      </c>
      <c r="E66" s="1" t="s">
        <v>85</v>
      </c>
      <c r="F66" s="1" t="s">
        <v>452</v>
      </c>
      <c r="G66" s="1" t="s">
        <v>453</v>
      </c>
      <c r="H66" s="1" t="s">
        <v>17</v>
      </c>
      <c r="I66" s="1" t="s">
        <v>58</v>
      </c>
      <c r="J66" s="1" t="s">
        <v>75</v>
      </c>
      <c r="K66" s="1" t="s">
        <v>76</v>
      </c>
      <c r="L66" s="1" t="s">
        <v>454</v>
      </c>
      <c r="M66" s="1" t="s">
        <v>26</v>
      </c>
      <c r="N66" s="1" t="s">
        <v>461</v>
      </c>
      <c r="O66" s="1" t="s">
        <v>18</v>
      </c>
      <c r="P66" s="1" t="s">
        <v>140</v>
      </c>
      <c r="Q66" s="1" t="s">
        <v>462</v>
      </c>
      <c r="R66" s="28" t="n">
        <v>146.73</v>
      </c>
      <c r="S66" s="28" t="n">
        <v>3</v>
      </c>
      <c r="T66" s="28" t="n">
        <v>0</v>
      </c>
      <c r="U66" s="28" t="n">
        <v>68.9631</v>
      </c>
      <c r="V66" s="1" t="s">
        <v>20</v>
      </c>
    </row>
    <row r="67" customFormat="false" ht="15" hidden="false" customHeight="true" outlineLevel="0" collapsed="false">
      <c r="A67" s="1" t="s">
        <v>463</v>
      </c>
      <c r="B67" s="1" t="s">
        <v>449</v>
      </c>
      <c r="C67" s="1" t="s">
        <v>450</v>
      </c>
      <c r="D67" s="1" t="s">
        <v>451</v>
      </c>
      <c r="E67" s="1" t="s">
        <v>85</v>
      </c>
      <c r="F67" s="1" t="s">
        <v>452</v>
      </c>
      <c r="G67" s="1" t="s">
        <v>453</v>
      </c>
      <c r="H67" s="1" t="s">
        <v>17</v>
      </c>
      <c r="I67" s="1" t="s">
        <v>58</v>
      </c>
      <c r="J67" s="1" t="s">
        <v>75</v>
      </c>
      <c r="K67" s="1" t="s">
        <v>76</v>
      </c>
      <c r="L67" s="1" t="s">
        <v>454</v>
      </c>
      <c r="M67" s="1" t="s">
        <v>26</v>
      </c>
      <c r="N67" s="1" t="s">
        <v>464</v>
      </c>
      <c r="O67" s="1" t="s">
        <v>14</v>
      </c>
      <c r="P67" s="1" t="s">
        <v>106</v>
      </c>
      <c r="Q67" s="1" t="s">
        <v>465</v>
      </c>
      <c r="R67" s="28" t="n">
        <v>79.76</v>
      </c>
      <c r="S67" s="28" t="n">
        <v>4</v>
      </c>
      <c r="T67" s="28" t="n">
        <v>0</v>
      </c>
      <c r="U67" s="28" t="n">
        <v>22.3328</v>
      </c>
      <c r="V67" s="1" t="s">
        <v>20</v>
      </c>
    </row>
    <row r="68" customFormat="false" ht="15" hidden="false" customHeight="true" outlineLevel="0" collapsed="false">
      <c r="A68" s="1" t="s">
        <v>466</v>
      </c>
      <c r="B68" s="1" t="s">
        <v>467</v>
      </c>
      <c r="C68" s="1" t="s">
        <v>468</v>
      </c>
      <c r="D68" s="1" t="s">
        <v>469</v>
      </c>
      <c r="E68" s="1" t="s">
        <v>85</v>
      </c>
      <c r="F68" s="1" t="s">
        <v>470</v>
      </c>
      <c r="G68" s="1" t="s">
        <v>471</v>
      </c>
      <c r="H68" s="1" t="s">
        <v>25</v>
      </c>
      <c r="I68" s="1" t="s">
        <v>58</v>
      </c>
      <c r="J68" s="1" t="s">
        <v>472</v>
      </c>
      <c r="K68" s="1" t="s">
        <v>326</v>
      </c>
      <c r="L68" s="1" t="s">
        <v>473</v>
      </c>
      <c r="M68" s="1" t="s">
        <v>15</v>
      </c>
      <c r="N68" s="1" t="s">
        <v>474</v>
      </c>
      <c r="O68" s="1" t="s">
        <v>14</v>
      </c>
      <c r="P68" s="1" t="s">
        <v>67</v>
      </c>
      <c r="Q68" s="1" t="s">
        <v>475</v>
      </c>
      <c r="R68" s="28" t="n">
        <v>213.115</v>
      </c>
      <c r="S68" s="28" t="n">
        <v>5</v>
      </c>
      <c r="T68" s="28" t="n">
        <v>0.3</v>
      </c>
      <c r="U68" s="28" t="n">
        <v>-15.2225</v>
      </c>
      <c r="V68" s="1" t="s">
        <v>20</v>
      </c>
    </row>
    <row r="69" customFormat="false" ht="15" hidden="false" customHeight="true" outlineLevel="0" collapsed="false">
      <c r="A69" s="1" t="s">
        <v>476</v>
      </c>
      <c r="B69" s="1" t="s">
        <v>477</v>
      </c>
      <c r="C69" s="1" t="s">
        <v>478</v>
      </c>
      <c r="D69" s="1" t="s">
        <v>479</v>
      </c>
      <c r="E69" s="1" t="s">
        <v>85</v>
      </c>
      <c r="F69" s="1" t="s">
        <v>480</v>
      </c>
      <c r="G69" s="1" t="s">
        <v>481</v>
      </c>
      <c r="H69" s="1" t="s">
        <v>21</v>
      </c>
      <c r="I69" s="1" t="s">
        <v>58</v>
      </c>
      <c r="J69" s="1" t="s">
        <v>482</v>
      </c>
      <c r="K69" s="1" t="s">
        <v>483</v>
      </c>
      <c r="L69" s="1" t="s">
        <v>484</v>
      </c>
      <c r="M69" s="1" t="s">
        <v>26</v>
      </c>
      <c r="N69" s="1" t="s">
        <v>485</v>
      </c>
      <c r="O69" s="1" t="s">
        <v>18</v>
      </c>
      <c r="P69" s="1" t="s">
        <v>110</v>
      </c>
      <c r="Q69" s="1" t="s">
        <v>486</v>
      </c>
      <c r="R69" s="28" t="n">
        <v>1113.024</v>
      </c>
      <c r="S69" s="28" t="n">
        <v>8</v>
      </c>
      <c r="T69" s="28" t="n">
        <v>0.2</v>
      </c>
      <c r="U69" s="28" t="n">
        <v>111.3024</v>
      </c>
      <c r="V69" s="1" t="s">
        <v>16</v>
      </c>
    </row>
    <row r="70" customFormat="false" ht="15" hidden="false" customHeight="true" outlineLevel="0" collapsed="false">
      <c r="A70" s="1" t="s">
        <v>487</v>
      </c>
      <c r="B70" s="1" t="s">
        <v>477</v>
      </c>
      <c r="C70" s="1" t="s">
        <v>478</v>
      </c>
      <c r="D70" s="1" t="s">
        <v>479</v>
      </c>
      <c r="E70" s="1" t="s">
        <v>85</v>
      </c>
      <c r="F70" s="1" t="s">
        <v>480</v>
      </c>
      <c r="G70" s="1" t="s">
        <v>481</v>
      </c>
      <c r="H70" s="1" t="s">
        <v>21</v>
      </c>
      <c r="I70" s="1" t="s">
        <v>58</v>
      </c>
      <c r="J70" s="1" t="s">
        <v>482</v>
      </c>
      <c r="K70" s="1" t="s">
        <v>483</v>
      </c>
      <c r="L70" s="1" t="s">
        <v>484</v>
      </c>
      <c r="M70" s="1" t="s">
        <v>26</v>
      </c>
      <c r="N70" s="1" t="s">
        <v>488</v>
      </c>
      <c r="O70" s="1" t="s">
        <v>22</v>
      </c>
      <c r="P70" s="1" t="s">
        <v>114</v>
      </c>
      <c r="Q70" s="1" t="s">
        <v>489</v>
      </c>
      <c r="R70" s="28" t="n">
        <v>167.968</v>
      </c>
      <c r="S70" s="28" t="n">
        <v>4</v>
      </c>
      <c r="T70" s="28" t="n">
        <v>0.2</v>
      </c>
      <c r="U70" s="28" t="n">
        <v>62.988</v>
      </c>
      <c r="V70" s="1" t="s">
        <v>16</v>
      </c>
    </row>
    <row r="71" customFormat="false" ht="15" hidden="false" customHeight="true" outlineLevel="0" collapsed="false">
      <c r="A71" s="1" t="s">
        <v>490</v>
      </c>
      <c r="B71" s="1" t="s">
        <v>491</v>
      </c>
      <c r="C71" s="1" t="s">
        <v>492</v>
      </c>
      <c r="D71" s="1" t="s">
        <v>493</v>
      </c>
      <c r="E71" s="1" t="s">
        <v>291</v>
      </c>
      <c r="F71" s="1" t="s">
        <v>494</v>
      </c>
      <c r="G71" s="1" t="s">
        <v>495</v>
      </c>
      <c r="H71" s="1" t="s">
        <v>17</v>
      </c>
      <c r="I71" s="1" t="s">
        <v>58</v>
      </c>
      <c r="J71" s="1" t="s">
        <v>496</v>
      </c>
      <c r="K71" s="1" t="s">
        <v>497</v>
      </c>
      <c r="L71" s="1" t="s">
        <v>498</v>
      </c>
      <c r="M71" s="1" t="s">
        <v>23</v>
      </c>
      <c r="N71" s="1" t="s">
        <v>499</v>
      </c>
      <c r="O71" s="1" t="s">
        <v>18</v>
      </c>
      <c r="P71" s="1" t="s">
        <v>140</v>
      </c>
      <c r="Q71" s="1" t="s">
        <v>500</v>
      </c>
      <c r="R71" s="28" t="n">
        <v>75.88</v>
      </c>
      <c r="S71" s="28" t="n">
        <v>2</v>
      </c>
      <c r="T71" s="28" t="n">
        <v>0</v>
      </c>
      <c r="U71" s="28" t="n">
        <v>35.6636</v>
      </c>
      <c r="V71" s="1" t="s">
        <v>24</v>
      </c>
    </row>
    <row r="72" customFormat="false" ht="15" hidden="false" customHeight="true" outlineLevel="0" collapsed="false">
      <c r="A72" s="1" t="s">
        <v>501</v>
      </c>
      <c r="B72" s="1" t="s">
        <v>502</v>
      </c>
      <c r="C72" s="1" t="s">
        <v>503</v>
      </c>
      <c r="D72" s="1" t="s">
        <v>504</v>
      </c>
      <c r="E72" s="1" t="s">
        <v>85</v>
      </c>
      <c r="F72" s="1" t="s">
        <v>505</v>
      </c>
      <c r="G72" s="1" t="s">
        <v>506</v>
      </c>
      <c r="H72" s="1" t="s">
        <v>17</v>
      </c>
      <c r="I72" s="1" t="s">
        <v>58</v>
      </c>
      <c r="J72" s="1" t="s">
        <v>413</v>
      </c>
      <c r="K72" s="1" t="s">
        <v>414</v>
      </c>
      <c r="L72" s="1" t="s">
        <v>507</v>
      </c>
      <c r="M72" s="1" t="s">
        <v>19</v>
      </c>
      <c r="N72" s="1" t="s">
        <v>508</v>
      </c>
      <c r="O72" s="1" t="s">
        <v>18</v>
      </c>
      <c r="P72" s="1" t="s">
        <v>118</v>
      </c>
      <c r="Q72" s="1" t="s">
        <v>509</v>
      </c>
      <c r="R72" s="28" t="n">
        <v>4.616</v>
      </c>
      <c r="S72" s="28" t="n">
        <v>1</v>
      </c>
      <c r="T72" s="28" t="n">
        <v>0.2</v>
      </c>
      <c r="U72" s="28" t="n">
        <v>1.731</v>
      </c>
      <c r="V72" s="1" t="s">
        <v>24</v>
      </c>
    </row>
    <row r="73" customFormat="false" ht="15" hidden="false" customHeight="true" outlineLevel="0" collapsed="false">
      <c r="A73" s="1" t="s">
        <v>510</v>
      </c>
      <c r="B73" s="1" t="s">
        <v>511</v>
      </c>
      <c r="C73" s="1" t="s">
        <v>512</v>
      </c>
      <c r="D73" s="1" t="s">
        <v>513</v>
      </c>
      <c r="E73" s="1" t="s">
        <v>55</v>
      </c>
      <c r="F73" s="1" t="s">
        <v>255</v>
      </c>
      <c r="G73" s="1" t="s">
        <v>256</v>
      </c>
      <c r="H73" s="1" t="s">
        <v>17</v>
      </c>
      <c r="I73" s="1" t="s">
        <v>58</v>
      </c>
      <c r="J73" s="1" t="s">
        <v>514</v>
      </c>
      <c r="K73" s="1" t="s">
        <v>369</v>
      </c>
      <c r="L73" s="1" t="s">
        <v>515</v>
      </c>
      <c r="M73" s="1" t="s">
        <v>15</v>
      </c>
      <c r="N73" s="1" t="s">
        <v>516</v>
      </c>
      <c r="O73" s="1" t="s">
        <v>18</v>
      </c>
      <c r="P73" s="1" t="s">
        <v>140</v>
      </c>
      <c r="Q73" s="1" t="s">
        <v>517</v>
      </c>
      <c r="R73" s="28" t="n">
        <v>19.05</v>
      </c>
      <c r="S73" s="28" t="n">
        <v>3</v>
      </c>
      <c r="T73" s="28" t="n">
        <v>0</v>
      </c>
      <c r="U73" s="28" t="n">
        <v>8.763</v>
      </c>
      <c r="V73" s="1" t="s">
        <v>27</v>
      </c>
    </row>
    <row r="74" customFormat="false" ht="15" hidden="false" customHeight="true" outlineLevel="0" collapsed="false">
      <c r="A74" s="1" t="s">
        <v>518</v>
      </c>
      <c r="B74" s="1" t="s">
        <v>519</v>
      </c>
      <c r="C74" s="1" t="s">
        <v>520</v>
      </c>
      <c r="D74" s="1" t="s">
        <v>521</v>
      </c>
      <c r="E74" s="1" t="s">
        <v>85</v>
      </c>
      <c r="F74" s="1" t="s">
        <v>522</v>
      </c>
      <c r="G74" s="1" t="s">
        <v>523</v>
      </c>
      <c r="H74" s="1" t="s">
        <v>17</v>
      </c>
      <c r="I74" s="1" t="s">
        <v>58</v>
      </c>
      <c r="J74" s="1" t="s">
        <v>524</v>
      </c>
      <c r="K74" s="1" t="s">
        <v>525</v>
      </c>
      <c r="L74" s="1" t="s">
        <v>526</v>
      </c>
      <c r="M74" s="1" t="s">
        <v>23</v>
      </c>
      <c r="N74" s="1" t="s">
        <v>527</v>
      </c>
      <c r="O74" s="1" t="s">
        <v>14</v>
      </c>
      <c r="P74" s="1" t="s">
        <v>67</v>
      </c>
      <c r="Q74" s="1" t="s">
        <v>528</v>
      </c>
      <c r="R74" s="28" t="n">
        <v>831.936</v>
      </c>
      <c r="S74" s="28" t="n">
        <v>8</v>
      </c>
      <c r="T74" s="28" t="n">
        <v>0.2</v>
      </c>
      <c r="U74" s="28" t="n">
        <v>-114.3912</v>
      </c>
      <c r="V74" s="1" t="s">
        <v>20</v>
      </c>
    </row>
    <row r="75" customFormat="false" ht="15" hidden="false" customHeight="true" outlineLevel="0" collapsed="false">
      <c r="A75" s="1" t="s">
        <v>529</v>
      </c>
      <c r="B75" s="1" t="s">
        <v>519</v>
      </c>
      <c r="C75" s="1" t="s">
        <v>520</v>
      </c>
      <c r="D75" s="1" t="s">
        <v>521</v>
      </c>
      <c r="E75" s="1" t="s">
        <v>85</v>
      </c>
      <c r="F75" s="1" t="s">
        <v>522</v>
      </c>
      <c r="G75" s="1" t="s">
        <v>523</v>
      </c>
      <c r="H75" s="1" t="s">
        <v>17</v>
      </c>
      <c r="I75" s="1" t="s">
        <v>58</v>
      </c>
      <c r="J75" s="1" t="s">
        <v>524</v>
      </c>
      <c r="K75" s="1" t="s">
        <v>525</v>
      </c>
      <c r="L75" s="1" t="s">
        <v>526</v>
      </c>
      <c r="M75" s="1" t="s">
        <v>23</v>
      </c>
      <c r="N75" s="1" t="s">
        <v>530</v>
      </c>
      <c r="O75" s="1" t="s">
        <v>14</v>
      </c>
      <c r="P75" s="1" t="s">
        <v>106</v>
      </c>
      <c r="Q75" s="1" t="s">
        <v>531</v>
      </c>
      <c r="R75" s="28" t="n">
        <v>97.04</v>
      </c>
      <c r="S75" s="28" t="n">
        <v>2</v>
      </c>
      <c r="T75" s="28" t="n">
        <v>0.2</v>
      </c>
      <c r="U75" s="28" t="n">
        <v>1.213</v>
      </c>
      <c r="V75" s="1" t="s">
        <v>20</v>
      </c>
    </row>
    <row r="76" customFormat="false" ht="15" hidden="false" customHeight="true" outlineLevel="0" collapsed="false">
      <c r="A76" s="1" t="s">
        <v>532</v>
      </c>
      <c r="B76" s="1" t="s">
        <v>519</v>
      </c>
      <c r="C76" s="1" t="s">
        <v>520</v>
      </c>
      <c r="D76" s="1" t="s">
        <v>521</v>
      </c>
      <c r="E76" s="1" t="s">
        <v>85</v>
      </c>
      <c r="F76" s="1" t="s">
        <v>522</v>
      </c>
      <c r="G76" s="1" t="s">
        <v>523</v>
      </c>
      <c r="H76" s="1" t="s">
        <v>17</v>
      </c>
      <c r="I76" s="1" t="s">
        <v>58</v>
      </c>
      <c r="J76" s="1" t="s">
        <v>524</v>
      </c>
      <c r="K76" s="1" t="s">
        <v>525</v>
      </c>
      <c r="L76" s="1" t="s">
        <v>526</v>
      </c>
      <c r="M76" s="1" t="s">
        <v>23</v>
      </c>
      <c r="N76" s="1" t="s">
        <v>533</v>
      </c>
      <c r="O76" s="1" t="s">
        <v>18</v>
      </c>
      <c r="P76" s="1" t="s">
        <v>96</v>
      </c>
      <c r="Q76" s="1" t="s">
        <v>534</v>
      </c>
      <c r="R76" s="28" t="n">
        <v>72.784</v>
      </c>
      <c r="S76" s="28" t="n">
        <v>1</v>
      </c>
      <c r="T76" s="28" t="n">
        <v>0.2</v>
      </c>
      <c r="U76" s="28" t="n">
        <v>-18.196</v>
      </c>
      <c r="V76" s="1" t="s">
        <v>20</v>
      </c>
    </row>
    <row r="77" customFormat="false" ht="15" hidden="false" customHeight="true" outlineLevel="0" collapsed="false">
      <c r="A77" s="1" t="s">
        <v>535</v>
      </c>
      <c r="B77" s="1" t="s">
        <v>536</v>
      </c>
      <c r="C77" s="1" t="s">
        <v>537</v>
      </c>
      <c r="D77" s="1" t="s">
        <v>538</v>
      </c>
      <c r="E77" s="1" t="s">
        <v>291</v>
      </c>
      <c r="F77" s="1" t="s">
        <v>539</v>
      </c>
      <c r="G77" s="1" t="s">
        <v>540</v>
      </c>
      <c r="H77" s="1" t="s">
        <v>21</v>
      </c>
      <c r="I77" s="1" t="s">
        <v>58</v>
      </c>
      <c r="J77" s="1" t="s">
        <v>284</v>
      </c>
      <c r="K77" s="1" t="s">
        <v>160</v>
      </c>
      <c r="L77" s="1" t="s">
        <v>307</v>
      </c>
      <c r="M77" s="1" t="s">
        <v>15</v>
      </c>
      <c r="N77" s="1" t="s">
        <v>541</v>
      </c>
      <c r="O77" s="1" t="s">
        <v>18</v>
      </c>
      <c r="P77" s="1" t="s">
        <v>118</v>
      </c>
      <c r="Q77" s="1" t="s">
        <v>542</v>
      </c>
      <c r="R77" s="28" t="n">
        <v>1.248</v>
      </c>
      <c r="S77" s="28" t="n">
        <v>3</v>
      </c>
      <c r="T77" s="28" t="n">
        <v>0.8</v>
      </c>
      <c r="U77" s="28" t="n">
        <v>-1.9344</v>
      </c>
      <c r="V77" s="1" t="s">
        <v>27</v>
      </c>
    </row>
    <row r="78" customFormat="false" ht="15" hidden="false" customHeight="true" outlineLevel="0" collapsed="false">
      <c r="A78" s="1" t="s">
        <v>543</v>
      </c>
      <c r="B78" s="1" t="s">
        <v>536</v>
      </c>
      <c r="C78" s="1" t="s">
        <v>537</v>
      </c>
      <c r="D78" s="1" t="s">
        <v>538</v>
      </c>
      <c r="E78" s="1" t="s">
        <v>291</v>
      </c>
      <c r="F78" s="1" t="s">
        <v>539</v>
      </c>
      <c r="G78" s="1" t="s">
        <v>540</v>
      </c>
      <c r="H78" s="1" t="s">
        <v>21</v>
      </c>
      <c r="I78" s="1" t="s">
        <v>58</v>
      </c>
      <c r="J78" s="1" t="s">
        <v>284</v>
      </c>
      <c r="K78" s="1" t="s">
        <v>160</v>
      </c>
      <c r="L78" s="1" t="s">
        <v>307</v>
      </c>
      <c r="M78" s="1" t="s">
        <v>15</v>
      </c>
      <c r="N78" s="1" t="s">
        <v>544</v>
      </c>
      <c r="O78" s="1" t="s">
        <v>14</v>
      </c>
      <c r="P78" s="1" t="s">
        <v>106</v>
      </c>
      <c r="Q78" s="1" t="s">
        <v>545</v>
      </c>
      <c r="R78" s="28" t="n">
        <v>9.708</v>
      </c>
      <c r="S78" s="28" t="n">
        <v>3</v>
      </c>
      <c r="T78" s="28" t="n">
        <v>0.6</v>
      </c>
      <c r="U78" s="28" t="n">
        <v>-5.8248</v>
      </c>
      <c r="V78" s="1" t="s">
        <v>27</v>
      </c>
    </row>
    <row r="79" customFormat="false" ht="15" hidden="false" customHeight="true" outlineLevel="0" collapsed="false">
      <c r="A79" s="1" t="s">
        <v>546</v>
      </c>
      <c r="B79" s="1" t="s">
        <v>536</v>
      </c>
      <c r="C79" s="1" t="s">
        <v>537</v>
      </c>
      <c r="D79" s="1" t="s">
        <v>538</v>
      </c>
      <c r="E79" s="1" t="s">
        <v>291</v>
      </c>
      <c r="F79" s="1" t="s">
        <v>539</v>
      </c>
      <c r="G79" s="1" t="s">
        <v>540</v>
      </c>
      <c r="H79" s="1" t="s">
        <v>21</v>
      </c>
      <c r="I79" s="1" t="s">
        <v>58</v>
      </c>
      <c r="J79" s="1" t="s">
        <v>284</v>
      </c>
      <c r="K79" s="1" t="s">
        <v>160</v>
      </c>
      <c r="L79" s="1" t="s">
        <v>307</v>
      </c>
      <c r="M79" s="1" t="s">
        <v>15</v>
      </c>
      <c r="N79" s="1" t="s">
        <v>547</v>
      </c>
      <c r="O79" s="1" t="s">
        <v>18</v>
      </c>
      <c r="P79" s="1" t="s">
        <v>96</v>
      </c>
      <c r="Q79" s="1" t="s">
        <v>548</v>
      </c>
      <c r="R79" s="28" t="n">
        <v>27.24</v>
      </c>
      <c r="S79" s="28" t="n">
        <v>3</v>
      </c>
      <c r="T79" s="28" t="n">
        <v>0.2</v>
      </c>
      <c r="U79" s="28" t="n">
        <v>2.724</v>
      </c>
      <c r="V79" s="1" t="s">
        <v>27</v>
      </c>
    </row>
    <row r="80" customFormat="false" ht="15" hidden="false" customHeight="true" outlineLevel="0" collapsed="false">
      <c r="A80" s="1" t="s">
        <v>549</v>
      </c>
      <c r="B80" s="1" t="s">
        <v>550</v>
      </c>
      <c r="C80" s="1" t="s">
        <v>551</v>
      </c>
      <c r="D80" s="1" t="s">
        <v>552</v>
      </c>
      <c r="E80" s="1" t="s">
        <v>55</v>
      </c>
      <c r="F80" s="1" t="s">
        <v>522</v>
      </c>
      <c r="G80" s="1" t="s">
        <v>523</v>
      </c>
      <c r="H80" s="1" t="s">
        <v>17</v>
      </c>
      <c r="I80" s="1" t="s">
        <v>58</v>
      </c>
      <c r="J80" s="1" t="s">
        <v>284</v>
      </c>
      <c r="K80" s="1" t="s">
        <v>160</v>
      </c>
      <c r="L80" s="1" t="s">
        <v>553</v>
      </c>
      <c r="M80" s="1" t="s">
        <v>15</v>
      </c>
      <c r="N80" s="1" t="s">
        <v>554</v>
      </c>
      <c r="O80" s="1" t="s">
        <v>14</v>
      </c>
      <c r="P80" s="1" t="s">
        <v>106</v>
      </c>
      <c r="Q80" s="1" t="s">
        <v>555</v>
      </c>
      <c r="R80" s="28" t="n">
        <v>19.3</v>
      </c>
      <c r="S80" s="28" t="n">
        <v>5</v>
      </c>
      <c r="T80" s="28" t="n">
        <v>0.6</v>
      </c>
      <c r="U80" s="28" t="n">
        <v>-14.475</v>
      </c>
      <c r="V80" s="1" t="s">
        <v>16</v>
      </c>
    </row>
    <row r="81" customFormat="false" ht="15" hidden="false" customHeight="true" outlineLevel="0" collapsed="false">
      <c r="A81" s="1" t="s">
        <v>556</v>
      </c>
      <c r="B81" s="1" t="s">
        <v>557</v>
      </c>
      <c r="C81" s="1" t="s">
        <v>71</v>
      </c>
      <c r="D81" s="1" t="s">
        <v>558</v>
      </c>
      <c r="E81" s="1" t="s">
        <v>291</v>
      </c>
      <c r="F81" s="1" t="s">
        <v>559</v>
      </c>
      <c r="G81" s="1" t="s">
        <v>560</v>
      </c>
      <c r="H81" s="1" t="s">
        <v>21</v>
      </c>
      <c r="I81" s="1" t="s">
        <v>58</v>
      </c>
      <c r="J81" s="1" t="s">
        <v>561</v>
      </c>
      <c r="K81" s="1" t="s">
        <v>562</v>
      </c>
      <c r="L81" s="1" t="s">
        <v>563</v>
      </c>
      <c r="M81" s="1" t="s">
        <v>23</v>
      </c>
      <c r="N81" s="1" t="s">
        <v>564</v>
      </c>
      <c r="O81" s="1" t="s">
        <v>18</v>
      </c>
      <c r="P81" s="1" t="s">
        <v>122</v>
      </c>
      <c r="Q81" s="1" t="s">
        <v>565</v>
      </c>
      <c r="R81" s="28" t="n">
        <v>208.16</v>
      </c>
      <c r="S81" s="28" t="n">
        <v>1</v>
      </c>
      <c r="T81" s="28" t="n">
        <v>0</v>
      </c>
      <c r="U81" s="28" t="n">
        <v>56.2032</v>
      </c>
      <c r="V81" s="1" t="s">
        <v>24</v>
      </c>
    </row>
    <row r="82" customFormat="false" ht="15" hidden="false" customHeight="true" outlineLevel="0" collapsed="false">
      <c r="A82" s="1" t="s">
        <v>566</v>
      </c>
      <c r="B82" s="1" t="s">
        <v>557</v>
      </c>
      <c r="C82" s="1" t="s">
        <v>71</v>
      </c>
      <c r="D82" s="1" t="s">
        <v>558</v>
      </c>
      <c r="E82" s="1" t="s">
        <v>291</v>
      </c>
      <c r="F82" s="1" t="s">
        <v>559</v>
      </c>
      <c r="G82" s="1" t="s">
        <v>560</v>
      </c>
      <c r="H82" s="1" t="s">
        <v>21</v>
      </c>
      <c r="I82" s="1" t="s">
        <v>58</v>
      </c>
      <c r="J82" s="1" t="s">
        <v>561</v>
      </c>
      <c r="K82" s="1" t="s">
        <v>562</v>
      </c>
      <c r="L82" s="1" t="s">
        <v>563</v>
      </c>
      <c r="M82" s="1" t="s">
        <v>23</v>
      </c>
      <c r="N82" s="1" t="s">
        <v>567</v>
      </c>
      <c r="O82" s="1" t="s">
        <v>18</v>
      </c>
      <c r="P82" s="1" t="s">
        <v>118</v>
      </c>
      <c r="Q82" s="1" t="s">
        <v>568</v>
      </c>
      <c r="R82" s="28" t="n">
        <v>16.74</v>
      </c>
      <c r="S82" s="28" t="n">
        <v>3</v>
      </c>
      <c r="T82" s="28" t="n">
        <v>0</v>
      </c>
      <c r="U82" s="28" t="n">
        <v>8.0352</v>
      </c>
      <c r="V82" s="1" t="s">
        <v>24</v>
      </c>
    </row>
    <row r="83" customFormat="false" ht="15" hidden="false" customHeight="true" outlineLevel="0" collapsed="false">
      <c r="A83" s="1" t="s">
        <v>569</v>
      </c>
      <c r="B83" s="1" t="s">
        <v>570</v>
      </c>
      <c r="C83" s="1" t="s">
        <v>571</v>
      </c>
      <c r="D83" s="1" t="s">
        <v>572</v>
      </c>
      <c r="E83" s="1" t="s">
        <v>85</v>
      </c>
      <c r="F83" s="1" t="s">
        <v>573</v>
      </c>
      <c r="G83" s="1" t="s">
        <v>574</v>
      </c>
      <c r="H83" s="1" t="s">
        <v>17</v>
      </c>
      <c r="I83" s="1" t="s">
        <v>58</v>
      </c>
      <c r="J83" s="1" t="s">
        <v>195</v>
      </c>
      <c r="K83" s="1" t="s">
        <v>76</v>
      </c>
      <c r="L83" s="1" t="s">
        <v>575</v>
      </c>
      <c r="M83" s="1" t="s">
        <v>26</v>
      </c>
      <c r="N83" s="1" t="s">
        <v>576</v>
      </c>
      <c r="O83" s="1" t="s">
        <v>18</v>
      </c>
      <c r="P83" s="1" t="s">
        <v>110</v>
      </c>
      <c r="Q83" s="1" t="s">
        <v>577</v>
      </c>
      <c r="R83" s="28" t="n">
        <v>14.9</v>
      </c>
      <c r="S83" s="28" t="n">
        <v>5</v>
      </c>
      <c r="T83" s="28" t="n">
        <v>0</v>
      </c>
      <c r="U83" s="28" t="n">
        <v>4.172</v>
      </c>
      <c r="V83" s="1" t="s">
        <v>16</v>
      </c>
    </row>
    <row r="84" customFormat="false" ht="15" hidden="false" customHeight="true" outlineLevel="0" collapsed="false">
      <c r="A84" s="1" t="s">
        <v>578</v>
      </c>
      <c r="B84" s="1" t="s">
        <v>570</v>
      </c>
      <c r="C84" s="1" t="s">
        <v>571</v>
      </c>
      <c r="D84" s="1" t="s">
        <v>572</v>
      </c>
      <c r="E84" s="1" t="s">
        <v>85</v>
      </c>
      <c r="F84" s="1" t="s">
        <v>573</v>
      </c>
      <c r="G84" s="1" t="s">
        <v>574</v>
      </c>
      <c r="H84" s="1" t="s">
        <v>17</v>
      </c>
      <c r="I84" s="1" t="s">
        <v>58</v>
      </c>
      <c r="J84" s="1" t="s">
        <v>195</v>
      </c>
      <c r="K84" s="1" t="s">
        <v>76</v>
      </c>
      <c r="L84" s="1" t="s">
        <v>575</v>
      </c>
      <c r="M84" s="1" t="s">
        <v>26</v>
      </c>
      <c r="N84" s="1" t="s">
        <v>579</v>
      </c>
      <c r="O84" s="1" t="s">
        <v>18</v>
      </c>
      <c r="P84" s="1" t="s">
        <v>96</v>
      </c>
      <c r="Q84" s="1" t="s">
        <v>580</v>
      </c>
      <c r="R84" s="28" t="n">
        <v>21.39</v>
      </c>
      <c r="S84" s="28" t="n">
        <v>1</v>
      </c>
      <c r="T84" s="28" t="n">
        <v>0</v>
      </c>
      <c r="U84" s="28" t="n">
        <v>6.2031</v>
      </c>
      <c r="V84" s="1" t="s">
        <v>16</v>
      </c>
    </row>
    <row r="85" customFormat="false" ht="15" hidden="false" customHeight="true" outlineLevel="0" collapsed="false">
      <c r="A85" s="1" t="s">
        <v>581</v>
      </c>
      <c r="B85" s="1" t="s">
        <v>582</v>
      </c>
      <c r="C85" s="1" t="s">
        <v>583</v>
      </c>
      <c r="D85" s="1" t="s">
        <v>584</v>
      </c>
      <c r="E85" s="1" t="s">
        <v>85</v>
      </c>
      <c r="F85" s="1" t="s">
        <v>585</v>
      </c>
      <c r="G85" s="1" t="s">
        <v>586</v>
      </c>
      <c r="H85" s="1" t="s">
        <v>21</v>
      </c>
      <c r="I85" s="1" t="s">
        <v>58</v>
      </c>
      <c r="J85" s="1" t="s">
        <v>587</v>
      </c>
      <c r="K85" s="1" t="s">
        <v>137</v>
      </c>
      <c r="L85" s="1" t="s">
        <v>588</v>
      </c>
      <c r="M85" s="1" t="s">
        <v>23</v>
      </c>
      <c r="N85" s="1" t="s">
        <v>589</v>
      </c>
      <c r="O85" s="1" t="s">
        <v>18</v>
      </c>
      <c r="P85" s="1" t="s">
        <v>267</v>
      </c>
      <c r="Q85" s="1" t="s">
        <v>590</v>
      </c>
      <c r="R85" s="28" t="n">
        <v>200.984</v>
      </c>
      <c r="S85" s="28" t="n">
        <v>7</v>
      </c>
      <c r="T85" s="28" t="n">
        <v>0.2</v>
      </c>
      <c r="U85" s="28" t="n">
        <v>62.8075</v>
      </c>
      <c r="V85" s="1" t="s">
        <v>20</v>
      </c>
    </row>
    <row r="86" customFormat="false" ht="15" hidden="false" customHeight="true" outlineLevel="0" collapsed="false">
      <c r="A86" s="1" t="s">
        <v>591</v>
      </c>
      <c r="B86" s="1" t="s">
        <v>592</v>
      </c>
      <c r="C86" s="1" t="s">
        <v>593</v>
      </c>
      <c r="D86" s="1" t="s">
        <v>594</v>
      </c>
      <c r="E86" s="1" t="s">
        <v>291</v>
      </c>
      <c r="F86" s="1" t="s">
        <v>595</v>
      </c>
      <c r="G86" s="1" t="s">
        <v>596</v>
      </c>
      <c r="H86" s="1" t="s">
        <v>25</v>
      </c>
      <c r="I86" s="1" t="s">
        <v>58</v>
      </c>
      <c r="J86" s="1" t="s">
        <v>472</v>
      </c>
      <c r="K86" s="1" t="s">
        <v>326</v>
      </c>
      <c r="L86" s="1" t="s">
        <v>597</v>
      </c>
      <c r="M86" s="1" t="s">
        <v>15</v>
      </c>
      <c r="N86" s="1" t="s">
        <v>598</v>
      </c>
      <c r="O86" s="1" t="s">
        <v>18</v>
      </c>
      <c r="P86" s="1" t="s">
        <v>96</v>
      </c>
      <c r="Q86" s="1" t="s">
        <v>599</v>
      </c>
      <c r="R86" s="28" t="n">
        <v>230.376</v>
      </c>
      <c r="S86" s="28" t="n">
        <v>3</v>
      </c>
      <c r="T86" s="28" t="n">
        <v>0.2</v>
      </c>
      <c r="U86" s="28" t="n">
        <v>-48.9549</v>
      </c>
      <c r="V86" s="1" t="s">
        <v>27</v>
      </c>
    </row>
    <row r="87" customFormat="false" ht="15" hidden="false" customHeight="true" outlineLevel="0" collapsed="false">
      <c r="A87" s="1" t="s">
        <v>600</v>
      </c>
      <c r="B87" s="1" t="s">
        <v>601</v>
      </c>
      <c r="C87" s="1" t="s">
        <v>602</v>
      </c>
      <c r="D87" s="1" t="s">
        <v>603</v>
      </c>
      <c r="E87" s="1" t="s">
        <v>55</v>
      </c>
      <c r="F87" s="1" t="s">
        <v>366</v>
      </c>
      <c r="G87" s="1" t="s">
        <v>367</v>
      </c>
      <c r="H87" s="1" t="s">
        <v>17</v>
      </c>
      <c r="I87" s="1" t="s">
        <v>58</v>
      </c>
      <c r="J87" s="1" t="s">
        <v>604</v>
      </c>
      <c r="K87" s="1" t="s">
        <v>605</v>
      </c>
      <c r="L87" s="1" t="s">
        <v>606</v>
      </c>
      <c r="M87" s="1" t="s">
        <v>23</v>
      </c>
      <c r="N87" s="1" t="s">
        <v>607</v>
      </c>
      <c r="O87" s="1" t="s">
        <v>14</v>
      </c>
      <c r="P87" s="1" t="s">
        <v>67</v>
      </c>
      <c r="Q87" s="1" t="s">
        <v>608</v>
      </c>
      <c r="R87" s="28" t="n">
        <v>301.96</v>
      </c>
      <c r="S87" s="28" t="n">
        <v>2</v>
      </c>
      <c r="T87" s="28" t="n">
        <v>0</v>
      </c>
      <c r="U87" s="28" t="n">
        <v>33.2156</v>
      </c>
      <c r="V87" s="1" t="s">
        <v>27</v>
      </c>
    </row>
    <row r="88" customFormat="false" ht="15" hidden="false" customHeight="true" outlineLevel="0" collapsed="false">
      <c r="A88" s="1" t="s">
        <v>609</v>
      </c>
      <c r="B88" s="1" t="s">
        <v>610</v>
      </c>
      <c r="C88" s="1" t="s">
        <v>611</v>
      </c>
      <c r="D88" s="1" t="s">
        <v>612</v>
      </c>
      <c r="E88" s="1" t="s">
        <v>85</v>
      </c>
      <c r="F88" s="1" t="s">
        <v>613</v>
      </c>
      <c r="G88" s="1" t="s">
        <v>614</v>
      </c>
      <c r="H88" s="1" t="s">
        <v>17</v>
      </c>
      <c r="I88" s="1" t="s">
        <v>58</v>
      </c>
      <c r="J88" s="1" t="s">
        <v>615</v>
      </c>
      <c r="K88" s="1" t="s">
        <v>355</v>
      </c>
      <c r="L88" s="1" t="s">
        <v>616</v>
      </c>
      <c r="M88" s="1" t="s">
        <v>15</v>
      </c>
      <c r="N88" s="1" t="s">
        <v>617</v>
      </c>
      <c r="O88" s="1" t="s">
        <v>22</v>
      </c>
      <c r="P88" s="1" t="s">
        <v>249</v>
      </c>
      <c r="Q88" s="1" t="s">
        <v>618</v>
      </c>
      <c r="R88" s="28" t="n">
        <v>19.99</v>
      </c>
      <c r="S88" s="28" t="n">
        <v>1</v>
      </c>
      <c r="T88" s="28" t="n">
        <v>0</v>
      </c>
      <c r="U88" s="28" t="n">
        <v>6.7966</v>
      </c>
      <c r="V88" s="1" t="s">
        <v>27</v>
      </c>
    </row>
    <row r="89" customFormat="false" ht="15" hidden="false" customHeight="true" outlineLevel="0" collapsed="false">
      <c r="A89" s="1" t="s">
        <v>619</v>
      </c>
      <c r="B89" s="1" t="s">
        <v>610</v>
      </c>
      <c r="C89" s="1" t="s">
        <v>611</v>
      </c>
      <c r="D89" s="1" t="s">
        <v>612</v>
      </c>
      <c r="E89" s="1" t="s">
        <v>85</v>
      </c>
      <c r="F89" s="1" t="s">
        <v>613</v>
      </c>
      <c r="G89" s="1" t="s">
        <v>614</v>
      </c>
      <c r="H89" s="1" t="s">
        <v>17</v>
      </c>
      <c r="I89" s="1" t="s">
        <v>58</v>
      </c>
      <c r="J89" s="1" t="s">
        <v>615</v>
      </c>
      <c r="K89" s="1" t="s">
        <v>355</v>
      </c>
      <c r="L89" s="1" t="s">
        <v>616</v>
      </c>
      <c r="M89" s="1" t="s">
        <v>15</v>
      </c>
      <c r="N89" s="1" t="s">
        <v>620</v>
      </c>
      <c r="O89" s="1" t="s">
        <v>18</v>
      </c>
      <c r="P89" s="1" t="s">
        <v>79</v>
      </c>
      <c r="Q89" s="1" t="s">
        <v>621</v>
      </c>
      <c r="R89" s="28" t="n">
        <v>6.16</v>
      </c>
      <c r="S89" s="28" t="n">
        <v>2</v>
      </c>
      <c r="T89" s="28" t="n">
        <v>0</v>
      </c>
      <c r="U89" s="28" t="n">
        <v>2.9568</v>
      </c>
      <c r="V89" s="1" t="s">
        <v>27</v>
      </c>
    </row>
    <row r="90" customFormat="false" ht="15" hidden="false" customHeight="true" outlineLevel="0" collapsed="false">
      <c r="A90" s="1" t="s">
        <v>622</v>
      </c>
      <c r="B90" s="1" t="s">
        <v>623</v>
      </c>
      <c r="C90" s="1" t="s">
        <v>624</v>
      </c>
      <c r="D90" s="1" t="s">
        <v>625</v>
      </c>
      <c r="E90" s="1" t="s">
        <v>55</v>
      </c>
      <c r="F90" s="1" t="s">
        <v>626</v>
      </c>
      <c r="G90" s="1" t="s">
        <v>627</v>
      </c>
      <c r="H90" s="1" t="s">
        <v>25</v>
      </c>
      <c r="I90" s="1" t="s">
        <v>58</v>
      </c>
      <c r="J90" s="1" t="s">
        <v>284</v>
      </c>
      <c r="K90" s="1" t="s">
        <v>160</v>
      </c>
      <c r="L90" s="1" t="s">
        <v>285</v>
      </c>
      <c r="M90" s="1" t="s">
        <v>15</v>
      </c>
      <c r="N90" s="1" t="s">
        <v>628</v>
      </c>
      <c r="O90" s="1" t="s">
        <v>18</v>
      </c>
      <c r="P90" s="1" t="s">
        <v>96</v>
      </c>
      <c r="Q90" s="1" t="s">
        <v>629</v>
      </c>
      <c r="R90" s="28" t="n">
        <v>158.368</v>
      </c>
      <c r="S90" s="28" t="n">
        <v>7</v>
      </c>
      <c r="T90" s="28" t="n">
        <v>0.2</v>
      </c>
      <c r="U90" s="28" t="n">
        <v>13.8572</v>
      </c>
      <c r="V90" s="1" t="s">
        <v>24</v>
      </c>
    </row>
    <row r="91" customFormat="false" ht="15" hidden="false" customHeight="true" outlineLevel="0" collapsed="false">
      <c r="A91" s="1" t="s">
        <v>630</v>
      </c>
      <c r="B91" s="1" t="s">
        <v>631</v>
      </c>
      <c r="C91" s="1" t="s">
        <v>632</v>
      </c>
      <c r="D91" s="1" t="s">
        <v>633</v>
      </c>
      <c r="E91" s="1" t="s">
        <v>85</v>
      </c>
      <c r="F91" s="1" t="s">
        <v>634</v>
      </c>
      <c r="G91" s="1" t="s">
        <v>635</v>
      </c>
      <c r="H91" s="1" t="s">
        <v>21</v>
      </c>
      <c r="I91" s="1" t="s">
        <v>58</v>
      </c>
      <c r="J91" s="1" t="s">
        <v>75</v>
      </c>
      <c r="K91" s="1" t="s">
        <v>76</v>
      </c>
      <c r="L91" s="1" t="s">
        <v>77</v>
      </c>
      <c r="M91" s="1" t="s">
        <v>26</v>
      </c>
      <c r="N91" s="1" t="s">
        <v>636</v>
      </c>
      <c r="O91" s="1" t="s">
        <v>18</v>
      </c>
      <c r="P91" s="1" t="s">
        <v>110</v>
      </c>
      <c r="Q91" s="1" t="s">
        <v>637</v>
      </c>
      <c r="R91" s="28" t="n">
        <v>20.1</v>
      </c>
      <c r="S91" s="28" t="n">
        <v>3</v>
      </c>
      <c r="T91" s="28" t="n">
        <v>0</v>
      </c>
      <c r="U91" s="28" t="n">
        <v>6.633</v>
      </c>
      <c r="V91" s="1" t="s">
        <v>24</v>
      </c>
    </row>
    <row r="92" customFormat="false" ht="15" hidden="false" customHeight="true" outlineLevel="0" collapsed="false">
      <c r="A92" s="1" t="s">
        <v>638</v>
      </c>
      <c r="B92" s="1" t="s">
        <v>631</v>
      </c>
      <c r="C92" s="1" t="s">
        <v>632</v>
      </c>
      <c r="D92" s="1" t="s">
        <v>633</v>
      </c>
      <c r="E92" s="1" t="s">
        <v>85</v>
      </c>
      <c r="F92" s="1" t="s">
        <v>634</v>
      </c>
      <c r="G92" s="1" t="s">
        <v>635</v>
      </c>
      <c r="H92" s="1" t="s">
        <v>21</v>
      </c>
      <c r="I92" s="1" t="s">
        <v>58</v>
      </c>
      <c r="J92" s="1" t="s">
        <v>75</v>
      </c>
      <c r="K92" s="1" t="s">
        <v>76</v>
      </c>
      <c r="L92" s="1" t="s">
        <v>77</v>
      </c>
      <c r="M92" s="1" t="s">
        <v>26</v>
      </c>
      <c r="N92" s="1" t="s">
        <v>328</v>
      </c>
      <c r="O92" s="1" t="s">
        <v>22</v>
      </c>
      <c r="P92" s="1" t="s">
        <v>114</v>
      </c>
      <c r="Q92" s="1" t="s">
        <v>329</v>
      </c>
      <c r="R92" s="28" t="n">
        <v>73.584</v>
      </c>
      <c r="S92" s="28" t="n">
        <v>2</v>
      </c>
      <c r="T92" s="28" t="n">
        <v>0.2</v>
      </c>
      <c r="U92" s="28" t="n">
        <v>8.2782</v>
      </c>
      <c r="V92" s="1" t="s">
        <v>24</v>
      </c>
    </row>
    <row r="93" customFormat="false" ht="15" hidden="false" customHeight="true" outlineLevel="0" collapsed="false">
      <c r="A93" s="1" t="s">
        <v>639</v>
      </c>
      <c r="B93" s="1" t="s">
        <v>631</v>
      </c>
      <c r="C93" s="1" t="s">
        <v>632</v>
      </c>
      <c r="D93" s="1" t="s">
        <v>633</v>
      </c>
      <c r="E93" s="1" t="s">
        <v>85</v>
      </c>
      <c r="F93" s="1" t="s">
        <v>634</v>
      </c>
      <c r="G93" s="1" t="s">
        <v>635</v>
      </c>
      <c r="H93" s="1" t="s">
        <v>21</v>
      </c>
      <c r="I93" s="1" t="s">
        <v>58</v>
      </c>
      <c r="J93" s="1" t="s">
        <v>75</v>
      </c>
      <c r="K93" s="1" t="s">
        <v>76</v>
      </c>
      <c r="L93" s="1" t="s">
        <v>77</v>
      </c>
      <c r="M93" s="1" t="s">
        <v>26</v>
      </c>
      <c r="N93" s="1" t="s">
        <v>640</v>
      </c>
      <c r="O93" s="1" t="s">
        <v>18</v>
      </c>
      <c r="P93" s="1" t="s">
        <v>140</v>
      </c>
      <c r="Q93" s="1" t="s">
        <v>641</v>
      </c>
      <c r="R93" s="28" t="n">
        <v>6.48</v>
      </c>
      <c r="S93" s="28" t="n">
        <v>1</v>
      </c>
      <c r="T93" s="28" t="n">
        <v>0</v>
      </c>
      <c r="U93" s="28" t="n">
        <v>3.1104</v>
      </c>
      <c r="V93" s="1" t="s">
        <v>24</v>
      </c>
    </row>
    <row r="94" customFormat="false" ht="15" hidden="false" customHeight="true" outlineLevel="0" collapsed="false">
      <c r="A94" s="1" t="s">
        <v>642</v>
      </c>
      <c r="B94" s="1" t="s">
        <v>643</v>
      </c>
      <c r="C94" s="1" t="s">
        <v>644</v>
      </c>
      <c r="D94" s="1" t="s">
        <v>645</v>
      </c>
      <c r="E94" s="1" t="s">
        <v>55</v>
      </c>
      <c r="F94" s="1" t="s">
        <v>646</v>
      </c>
      <c r="G94" s="1" t="s">
        <v>647</v>
      </c>
      <c r="H94" s="1" t="s">
        <v>17</v>
      </c>
      <c r="I94" s="1" t="s">
        <v>58</v>
      </c>
      <c r="J94" s="1" t="s">
        <v>648</v>
      </c>
      <c r="K94" s="1" t="s">
        <v>355</v>
      </c>
      <c r="L94" s="1" t="s">
        <v>649</v>
      </c>
      <c r="M94" s="1" t="s">
        <v>15</v>
      </c>
      <c r="N94" s="1" t="s">
        <v>650</v>
      </c>
      <c r="O94" s="1" t="s">
        <v>18</v>
      </c>
      <c r="P94" s="1" t="s">
        <v>140</v>
      </c>
      <c r="Q94" s="1" t="s">
        <v>651</v>
      </c>
      <c r="R94" s="28" t="n">
        <v>12.96</v>
      </c>
      <c r="S94" s="28" t="n">
        <v>2</v>
      </c>
      <c r="T94" s="28" t="n">
        <v>0</v>
      </c>
      <c r="U94" s="28" t="n">
        <v>6.2208</v>
      </c>
      <c r="V94" s="1" t="s">
        <v>20</v>
      </c>
    </row>
    <row r="95" customFormat="false" ht="15" hidden="false" customHeight="true" outlineLevel="0" collapsed="false">
      <c r="A95" s="1" t="s">
        <v>652</v>
      </c>
      <c r="B95" s="1" t="s">
        <v>643</v>
      </c>
      <c r="C95" s="1" t="s">
        <v>644</v>
      </c>
      <c r="D95" s="1" t="s">
        <v>645</v>
      </c>
      <c r="E95" s="1" t="s">
        <v>55</v>
      </c>
      <c r="F95" s="1" t="s">
        <v>646</v>
      </c>
      <c r="G95" s="1" t="s">
        <v>647</v>
      </c>
      <c r="H95" s="1" t="s">
        <v>17</v>
      </c>
      <c r="I95" s="1" t="s">
        <v>58</v>
      </c>
      <c r="J95" s="1" t="s">
        <v>648</v>
      </c>
      <c r="K95" s="1" t="s">
        <v>355</v>
      </c>
      <c r="L95" s="1" t="s">
        <v>649</v>
      </c>
      <c r="M95" s="1" t="s">
        <v>15</v>
      </c>
      <c r="N95" s="1" t="s">
        <v>653</v>
      </c>
      <c r="O95" s="1" t="s">
        <v>14</v>
      </c>
      <c r="P95" s="1" t="s">
        <v>106</v>
      </c>
      <c r="Q95" s="1" t="s">
        <v>654</v>
      </c>
      <c r="R95" s="28" t="n">
        <v>53.34</v>
      </c>
      <c r="S95" s="28" t="n">
        <v>3</v>
      </c>
      <c r="T95" s="28" t="n">
        <v>0</v>
      </c>
      <c r="U95" s="28" t="n">
        <v>16.5354</v>
      </c>
      <c r="V95" s="1" t="s">
        <v>20</v>
      </c>
    </row>
    <row r="96" customFormat="false" ht="15" hidden="false" customHeight="true" outlineLevel="0" collapsed="false">
      <c r="A96" s="1" t="s">
        <v>655</v>
      </c>
      <c r="B96" s="1" t="s">
        <v>643</v>
      </c>
      <c r="C96" s="1" t="s">
        <v>644</v>
      </c>
      <c r="D96" s="1" t="s">
        <v>645</v>
      </c>
      <c r="E96" s="1" t="s">
        <v>55</v>
      </c>
      <c r="F96" s="1" t="s">
        <v>646</v>
      </c>
      <c r="G96" s="1" t="s">
        <v>647</v>
      </c>
      <c r="H96" s="1" t="s">
        <v>17</v>
      </c>
      <c r="I96" s="1" t="s">
        <v>58</v>
      </c>
      <c r="J96" s="1" t="s">
        <v>648</v>
      </c>
      <c r="K96" s="1" t="s">
        <v>355</v>
      </c>
      <c r="L96" s="1" t="s">
        <v>649</v>
      </c>
      <c r="M96" s="1" t="s">
        <v>15</v>
      </c>
      <c r="N96" s="1" t="s">
        <v>656</v>
      </c>
      <c r="O96" s="1" t="s">
        <v>18</v>
      </c>
      <c r="P96" s="1" t="s">
        <v>118</v>
      </c>
      <c r="Q96" s="1" t="s">
        <v>657</v>
      </c>
      <c r="R96" s="28" t="n">
        <v>32.96</v>
      </c>
      <c r="S96" s="28" t="n">
        <v>2</v>
      </c>
      <c r="T96" s="28" t="n">
        <v>0</v>
      </c>
      <c r="U96" s="28" t="n">
        <v>16.1504</v>
      </c>
      <c r="V96" s="1" t="s">
        <v>20</v>
      </c>
    </row>
    <row r="97" customFormat="false" ht="15" hidden="false" customHeight="true" outlineLevel="0" collapsed="false">
      <c r="A97" s="1" t="s">
        <v>658</v>
      </c>
      <c r="B97" s="1" t="s">
        <v>659</v>
      </c>
      <c r="C97" s="1" t="s">
        <v>660</v>
      </c>
      <c r="D97" s="1" t="s">
        <v>661</v>
      </c>
      <c r="E97" s="1" t="s">
        <v>85</v>
      </c>
      <c r="F97" s="1" t="s">
        <v>662</v>
      </c>
      <c r="G97" s="1" t="s">
        <v>663</v>
      </c>
      <c r="H97" s="1" t="s">
        <v>25</v>
      </c>
      <c r="I97" s="1" t="s">
        <v>58</v>
      </c>
      <c r="J97" s="1" t="s">
        <v>664</v>
      </c>
      <c r="K97" s="1" t="s">
        <v>665</v>
      </c>
      <c r="L97" s="1" t="s">
        <v>666</v>
      </c>
      <c r="M97" s="1" t="s">
        <v>26</v>
      </c>
      <c r="N97" s="1" t="s">
        <v>667</v>
      </c>
      <c r="O97" s="1" t="s">
        <v>18</v>
      </c>
      <c r="P97" s="1" t="s">
        <v>118</v>
      </c>
      <c r="Q97" s="1" t="s">
        <v>668</v>
      </c>
      <c r="R97" s="28" t="n">
        <v>5.682</v>
      </c>
      <c r="S97" s="28" t="n">
        <v>1</v>
      </c>
      <c r="T97" s="28" t="n">
        <v>0.7</v>
      </c>
      <c r="U97" s="28" t="n">
        <v>-3.788</v>
      </c>
      <c r="V97" s="1" t="s">
        <v>27</v>
      </c>
    </row>
    <row r="98" customFormat="false" ht="15" hidden="false" customHeight="true" outlineLevel="0" collapsed="false">
      <c r="A98" s="1" t="s">
        <v>669</v>
      </c>
      <c r="B98" s="1" t="s">
        <v>670</v>
      </c>
      <c r="C98" s="1" t="s">
        <v>671</v>
      </c>
      <c r="D98" s="1" t="s">
        <v>672</v>
      </c>
      <c r="E98" s="1" t="s">
        <v>55</v>
      </c>
      <c r="F98" s="1" t="s">
        <v>673</v>
      </c>
      <c r="G98" s="1" t="s">
        <v>674</v>
      </c>
      <c r="H98" s="1" t="s">
        <v>25</v>
      </c>
      <c r="I98" s="1" t="s">
        <v>58</v>
      </c>
      <c r="J98" s="1" t="s">
        <v>413</v>
      </c>
      <c r="K98" s="1" t="s">
        <v>414</v>
      </c>
      <c r="L98" s="1" t="s">
        <v>507</v>
      </c>
      <c r="M98" s="1" t="s">
        <v>19</v>
      </c>
      <c r="N98" s="1" t="s">
        <v>675</v>
      </c>
      <c r="O98" s="1" t="s">
        <v>14</v>
      </c>
      <c r="P98" s="1" t="s">
        <v>106</v>
      </c>
      <c r="Q98" s="1" t="s">
        <v>676</v>
      </c>
      <c r="R98" s="28" t="n">
        <v>96.53</v>
      </c>
      <c r="S98" s="28" t="n">
        <v>7</v>
      </c>
      <c r="T98" s="28" t="n">
        <v>0</v>
      </c>
      <c r="U98" s="28" t="n">
        <v>40.5426</v>
      </c>
      <c r="V98" s="1" t="s">
        <v>27</v>
      </c>
    </row>
    <row r="99" customFormat="false" ht="15" hidden="false" customHeight="true" outlineLevel="0" collapsed="false">
      <c r="A99" s="1" t="s">
        <v>677</v>
      </c>
      <c r="B99" s="1" t="s">
        <v>678</v>
      </c>
      <c r="C99" s="1" t="s">
        <v>679</v>
      </c>
      <c r="D99" s="1" t="s">
        <v>680</v>
      </c>
      <c r="E99" s="1" t="s">
        <v>291</v>
      </c>
      <c r="F99" s="1" t="s">
        <v>681</v>
      </c>
      <c r="G99" s="1" t="s">
        <v>682</v>
      </c>
      <c r="H99" s="1" t="s">
        <v>17</v>
      </c>
      <c r="I99" s="1" t="s">
        <v>58</v>
      </c>
      <c r="J99" s="1" t="s">
        <v>195</v>
      </c>
      <c r="K99" s="1" t="s">
        <v>76</v>
      </c>
      <c r="L99" s="1" t="s">
        <v>575</v>
      </c>
      <c r="M99" s="1" t="s">
        <v>26</v>
      </c>
      <c r="N99" s="1" t="s">
        <v>683</v>
      </c>
      <c r="O99" s="1" t="s">
        <v>18</v>
      </c>
      <c r="P99" s="1" t="s">
        <v>118</v>
      </c>
      <c r="Q99" s="1" t="s">
        <v>684</v>
      </c>
      <c r="R99" s="28" t="n">
        <v>51.312</v>
      </c>
      <c r="S99" s="28" t="n">
        <v>3</v>
      </c>
      <c r="T99" s="28" t="n">
        <v>0.2</v>
      </c>
      <c r="U99" s="28" t="n">
        <v>17.9592</v>
      </c>
      <c r="V99" s="1" t="s">
        <v>27</v>
      </c>
    </row>
    <row r="100" customFormat="false" ht="15" hidden="false" customHeight="true" outlineLevel="0" collapsed="false">
      <c r="A100" s="1" t="s">
        <v>685</v>
      </c>
      <c r="B100" s="1" t="s">
        <v>686</v>
      </c>
      <c r="C100" s="1" t="s">
        <v>687</v>
      </c>
      <c r="D100" s="1" t="s">
        <v>688</v>
      </c>
      <c r="E100" s="1" t="s">
        <v>85</v>
      </c>
      <c r="F100" s="1" t="s">
        <v>689</v>
      </c>
      <c r="G100" s="1" t="s">
        <v>690</v>
      </c>
      <c r="H100" s="1" t="s">
        <v>21</v>
      </c>
      <c r="I100" s="1" t="s">
        <v>58</v>
      </c>
      <c r="J100" s="1" t="s">
        <v>691</v>
      </c>
      <c r="K100" s="1" t="s">
        <v>355</v>
      </c>
      <c r="L100" s="1" t="s">
        <v>692</v>
      </c>
      <c r="M100" s="1" t="s">
        <v>15</v>
      </c>
      <c r="N100" s="1" t="s">
        <v>693</v>
      </c>
      <c r="O100" s="1" t="s">
        <v>18</v>
      </c>
      <c r="P100" s="1" t="s">
        <v>122</v>
      </c>
      <c r="Q100" s="1" t="s">
        <v>694</v>
      </c>
      <c r="R100" s="28" t="n">
        <v>77.88</v>
      </c>
      <c r="S100" s="28" t="n">
        <v>6</v>
      </c>
      <c r="T100" s="28" t="n">
        <v>0</v>
      </c>
      <c r="U100" s="28" t="n">
        <v>22.5852</v>
      </c>
      <c r="V100" s="1" t="s">
        <v>24</v>
      </c>
    </row>
    <row r="101" customFormat="false" ht="15" hidden="false" customHeight="true" outlineLevel="0" collapsed="false">
      <c r="A101" s="1" t="s">
        <v>695</v>
      </c>
      <c r="B101" s="1" t="s">
        <v>696</v>
      </c>
      <c r="C101" s="1" t="s">
        <v>697</v>
      </c>
      <c r="D101" s="1" t="s">
        <v>698</v>
      </c>
      <c r="E101" s="1" t="s">
        <v>85</v>
      </c>
      <c r="F101" s="1" t="s">
        <v>699</v>
      </c>
      <c r="G101" s="1" t="s">
        <v>700</v>
      </c>
      <c r="H101" s="1" t="s">
        <v>25</v>
      </c>
      <c r="I101" s="1" t="s">
        <v>58</v>
      </c>
      <c r="J101" s="1" t="s">
        <v>472</v>
      </c>
      <c r="K101" s="1" t="s">
        <v>326</v>
      </c>
      <c r="L101" s="1" t="s">
        <v>473</v>
      </c>
      <c r="M101" s="1" t="s">
        <v>15</v>
      </c>
      <c r="N101" s="1" t="s">
        <v>701</v>
      </c>
      <c r="O101" s="1" t="s">
        <v>18</v>
      </c>
      <c r="P101" s="1" t="s">
        <v>140</v>
      </c>
      <c r="Q101" s="1" t="s">
        <v>702</v>
      </c>
      <c r="R101" s="28" t="n">
        <v>64.624</v>
      </c>
      <c r="S101" s="28" t="n">
        <v>7</v>
      </c>
      <c r="T101" s="28" t="n">
        <v>0.2</v>
      </c>
      <c r="U101" s="28" t="n">
        <v>22.6184</v>
      </c>
      <c r="V101" s="1" t="s">
        <v>24</v>
      </c>
    </row>
    <row r="102" customFormat="false" ht="15" hidden="false" customHeight="true" outlineLevel="0" collapsed="false">
      <c r="A102" s="1" t="s">
        <v>703</v>
      </c>
      <c r="B102" s="1" t="s">
        <v>696</v>
      </c>
      <c r="C102" s="1" t="s">
        <v>697</v>
      </c>
      <c r="D102" s="1" t="s">
        <v>698</v>
      </c>
      <c r="E102" s="1" t="s">
        <v>85</v>
      </c>
      <c r="F102" s="1" t="s">
        <v>699</v>
      </c>
      <c r="G102" s="1" t="s">
        <v>700</v>
      </c>
      <c r="H102" s="1" t="s">
        <v>25</v>
      </c>
      <c r="I102" s="1" t="s">
        <v>58</v>
      </c>
      <c r="J102" s="1" t="s">
        <v>472</v>
      </c>
      <c r="K102" s="1" t="s">
        <v>326</v>
      </c>
      <c r="L102" s="1" t="s">
        <v>473</v>
      </c>
      <c r="M102" s="1" t="s">
        <v>15</v>
      </c>
      <c r="N102" s="1" t="s">
        <v>704</v>
      </c>
      <c r="O102" s="1" t="s">
        <v>22</v>
      </c>
      <c r="P102" s="1" t="s">
        <v>249</v>
      </c>
      <c r="Q102" s="1" t="s">
        <v>705</v>
      </c>
      <c r="R102" s="28" t="n">
        <v>95.976</v>
      </c>
      <c r="S102" s="28" t="n">
        <v>3</v>
      </c>
      <c r="T102" s="28" t="n">
        <v>0.2</v>
      </c>
      <c r="U102" s="28" t="n">
        <v>-10.7973</v>
      </c>
      <c r="V102" s="1" t="s">
        <v>24</v>
      </c>
    </row>
    <row r="103" customFormat="false" ht="15" hidden="false" customHeight="true" outlineLevel="0" collapsed="false">
      <c r="A103" s="1" t="s">
        <v>706</v>
      </c>
      <c r="B103" s="1" t="s">
        <v>696</v>
      </c>
      <c r="C103" s="1" t="s">
        <v>697</v>
      </c>
      <c r="D103" s="1" t="s">
        <v>698</v>
      </c>
      <c r="E103" s="1" t="s">
        <v>85</v>
      </c>
      <c r="F103" s="1" t="s">
        <v>699</v>
      </c>
      <c r="G103" s="1" t="s">
        <v>700</v>
      </c>
      <c r="H103" s="1" t="s">
        <v>25</v>
      </c>
      <c r="I103" s="1" t="s">
        <v>58</v>
      </c>
      <c r="J103" s="1" t="s">
        <v>472</v>
      </c>
      <c r="K103" s="1" t="s">
        <v>326</v>
      </c>
      <c r="L103" s="1" t="s">
        <v>473</v>
      </c>
      <c r="M103" s="1" t="s">
        <v>15</v>
      </c>
      <c r="N103" s="1" t="s">
        <v>707</v>
      </c>
      <c r="O103" s="1" t="s">
        <v>18</v>
      </c>
      <c r="P103" s="1" t="s">
        <v>118</v>
      </c>
      <c r="Q103" s="1" t="s">
        <v>708</v>
      </c>
      <c r="R103" s="28" t="n">
        <v>1.788</v>
      </c>
      <c r="S103" s="28" t="n">
        <v>3</v>
      </c>
      <c r="T103" s="28" t="n">
        <v>0.8</v>
      </c>
      <c r="U103" s="28" t="n">
        <v>-3.0396</v>
      </c>
      <c r="V103" s="1" t="s">
        <v>24</v>
      </c>
    </row>
    <row r="104" customFormat="false" ht="15" hidden="false" customHeight="true" outlineLevel="0" collapsed="false">
      <c r="A104" s="1" t="s">
        <v>709</v>
      </c>
      <c r="B104" s="1" t="s">
        <v>710</v>
      </c>
      <c r="C104" s="1" t="s">
        <v>711</v>
      </c>
      <c r="D104" s="1" t="s">
        <v>712</v>
      </c>
      <c r="E104" s="1" t="s">
        <v>55</v>
      </c>
      <c r="F104" s="1" t="s">
        <v>713</v>
      </c>
      <c r="G104" s="1" t="s">
        <v>714</v>
      </c>
      <c r="H104" s="1" t="s">
        <v>17</v>
      </c>
      <c r="I104" s="1" t="s">
        <v>58</v>
      </c>
      <c r="J104" s="1" t="s">
        <v>615</v>
      </c>
      <c r="K104" s="1" t="s">
        <v>355</v>
      </c>
      <c r="L104" s="1" t="s">
        <v>616</v>
      </c>
      <c r="M104" s="1" t="s">
        <v>15</v>
      </c>
      <c r="N104" s="1" t="s">
        <v>715</v>
      </c>
      <c r="O104" s="1" t="s">
        <v>18</v>
      </c>
      <c r="P104" s="1" t="s">
        <v>140</v>
      </c>
      <c r="Q104" s="1" t="s">
        <v>716</v>
      </c>
      <c r="R104" s="28" t="n">
        <v>23.92</v>
      </c>
      <c r="S104" s="28" t="n">
        <v>4</v>
      </c>
      <c r="T104" s="28" t="n">
        <v>0</v>
      </c>
      <c r="U104" s="28" t="n">
        <v>11.7208</v>
      </c>
      <c r="V104" s="1" t="s">
        <v>24</v>
      </c>
    </row>
    <row r="105" customFormat="false" ht="15" hidden="false" customHeight="true" outlineLevel="0" collapsed="false">
      <c r="A105" s="1" t="s">
        <v>717</v>
      </c>
      <c r="B105" s="1" t="s">
        <v>718</v>
      </c>
      <c r="C105" s="1" t="s">
        <v>719</v>
      </c>
      <c r="D105" s="1" t="s">
        <v>720</v>
      </c>
      <c r="E105" s="1" t="s">
        <v>85</v>
      </c>
      <c r="F105" s="1" t="s">
        <v>721</v>
      </c>
      <c r="G105" s="1" t="s">
        <v>722</v>
      </c>
      <c r="H105" s="1" t="s">
        <v>17</v>
      </c>
      <c r="I105" s="1" t="s">
        <v>58</v>
      </c>
      <c r="J105" s="1" t="s">
        <v>723</v>
      </c>
      <c r="K105" s="1" t="s">
        <v>724</v>
      </c>
      <c r="L105" s="1" t="s">
        <v>725</v>
      </c>
      <c r="M105" s="1" t="s">
        <v>26</v>
      </c>
      <c r="N105" s="1" t="s">
        <v>726</v>
      </c>
      <c r="O105" s="1" t="s">
        <v>22</v>
      </c>
      <c r="P105" s="1" t="s">
        <v>249</v>
      </c>
      <c r="Q105" s="1" t="s">
        <v>727</v>
      </c>
      <c r="R105" s="28" t="n">
        <v>238.896</v>
      </c>
      <c r="S105" s="28" t="n">
        <v>6</v>
      </c>
      <c r="T105" s="28" t="n">
        <v>0.2</v>
      </c>
      <c r="U105" s="28" t="n">
        <v>-26.8758</v>
      </c>
      <c r="V105" s="1" t="s">
        <v>20</v>
      </c>
    </row>
    <row r="106" customFormat="false" ht="15" hidden="false" customHeight="true" outlineLevel="0" collapsed="false">
      <c r="A106" s="1" t="s">
        <v>728</v>
      </c>
      <c r="B106" s="1" t="s">
        <v>718</v>
      </c>
      <c r="C106" s="1" t="s">
        <v>719</v>
      </c>
      <c r="D106" s="1" t="s">
        <v>720</v>
      </c>
      <c r="E106" s="1" t="s">
        <v>85</v>
      </c>
      <c r="F106" s="1" t="s">
        <v>721</v>
      </c>
      <c r="G106" s="1" t="s">
        <v>722</v>
      </c>
      <c r="H106" s="1" t="s">
        <v>17</v>
      </c>
      <c r="I106" s="1" t="s">
        <v>58</v>
      </c>
      <c r="J106" s="1" t="s">
        <v>723</v>
      </c>
      <c r="K106" s="1" t="s">
        <v>724</v>
      </c>
      <c r="L106" s="1" t="s">
        <v>725</v>
      </c>
      <c r="M106" s="1" t="s">
        <v>26</v>
      </c>
      <c r="N106" s="1" t="s">
        <v>729</v>
      </c>
      <c r="O106" s="1" t="s">
        <v>14</v>
      </c>
      <c r="P106" s="1" t="s">
        <v>106</v>
      </c>
      <c r="Q106" s="1" t="s">
        <v>730</v>
      </c>
      <c r="R106" s="28" t="n">
        <v>102.36</v>
      </c>
      <c r="S106" s="28" t="n">
        <v>3</v>
      </c>
      <c r="T106" s="28" t="n">
        <v>0.2</v>
      </c>
      <c r="U106" s="28" t="n">
        <v>-3.8385</v>
      </c>
      <c r="V106" s="1" t="s">
        <v>20</v>
      </c>
    </row>
    <row r="107" customFormat="false" ht="15" hidden="false" customHeight="true" outlineLevel="0" collapsed="false">
      <c r="A107" s="1" t="s">
        <v>731</v>
      </c>
      <c r="B107" s="1" t="s">
        <v>718</v>
      </c>
      <c r="C107" s="1" t="s">
        <v>719</v>
      </c>
      <c r="D107" s="1" t="s">
        <v>720</v>
      </c>
      <c r="E107" s="1" t="s">
        <v>85</v>
      </c>
      <c r="F107" s="1" t="s">
        <v>721</v>
      </c>
      <c r="G107" s="1" t="s">
        <v>722</v>
      </c>
      <c r="H107" s="1" t="s">
        <v>17</v>
      </c>
      <c r="I107" s="1" t="s">
        <v>58</v>
      </c>
      <c r="J107" s="1" t="s">
        <v>723</v>
      </c>
      <c r="K107" s="1" t="s">
        <v>724</v>
      </c>
      <c r="L107" s="1" t="s">
        <v>725</v>
      </c>
      <c r="M107" s="1" t="s">
        <v>26</v>
      </c>
      <c r="N107" s="1" t="s">
        <v>732</v>
      </c>
      <c r="O107" s="1" t="s">
        <v>18</v>
      </c>
      <c r="P107" s="1" t="s">
        <v>118</v>
      </c>
      <c r="Q107" s="1" t="s">
        <v>733</v>
      </c>
      <c r="R107" s="28" t="n">
        <v>36.882</v>
      </c>
      <c r="S107" s="28" t="n">
        <v>3</v>
      </c>
      <c r="T107" s="28" t="n">
        <v>0.7</v>
      </c>
      <c r="U107" s="28" t="n">
        <v>-25.8174</v>
      </c>
      <c r="V107" s="1" t="s">
        <v>20</v>
      </c>
    </row>
    <row r="108" customFormat="false" ht="15" hidden="false" customHeight="true" outlineLevel="0" collapsed="false">
      <c r="A108" s="1" t="s">
        <v>734</v>
      </c>
      <c r="B108" s="1" t="s">
        <v>735</v>
      </c>
      <c r="C108" s="1" t="s">
        <v>736</v>
      </c>
      <c r="D108" s="1" t="s">
        <v>737</v>
      </c>
      <c r="E108" s="1" t="s">
        <v>85</v>
      </c>
      <c r="F108" s="1" t="s">
        <v>738</v>
      </c>
      <c r="G108" s="1" t="s">
        <v>739</v>
      </c>
      <c r="H108" s="1" t="s">
        <v>17</v>
      </c>
      <c r="I108" s="1" t="s">
        <v>58</v>
      </c>
      <c r="J108" s="1" t="s">
        <v>740</v>
      </c>
      <c r="K108" s="1" t="s">
        <v>137</v>
      </c>
      <c r="L108" s="1" t="s">
        <v>741</v>
      </c>
      <c r="M108" s="1" t="s">
        <v>23</v>
      </c>
      <c r="N108" s="1" t="s">
        <v>742</v>
      </c>
      <c r="O108" s="1" t="s">
        <v>22</v>
      </c>
      <c r="P108" s="1" t="s">
        <v>249</v>
      </c>
      <c r="Q108" s="1" t="s">
        <v>743</v>
      </c>
      <c r="R108" s="28" t="n">
        <v>74.112</v>
      </c>
      <c r="S108" s="28" t="n">
        <v>8</v>
      </c>
      <c r="T108" s="28" t="n">
        <v>0.2</v>
      </c>
      <c r="U108" s="28" t="n">
        <v>17.6016</v>
      </c>
      <c r="V108" s="1" t="s">
        <v>27</v>
      </c>
    </row>
    <row r="109" customFormat="false" ht="15" hidden="false" customHeight="true" outlineLevel="0" collapsed="false">
      <c r="A109" s="1" t="s">
        <v>744</v>
      </c>
      <c r="B109" s="1" t="s">
        <v>735</v>
      </c>
      <c r="C109" s="1" t="s">
        <v>736</v>
      </c>
      <c r="D109" s="1" t="s">
        <v>737</v>
      </c>
      <c r="E109" s="1" t="s">
        <v>85</v>
      </c>
      <c r="F109" s="1" t="s">
        <v>738</v>
      </c>
      <c r="G109" s="1" t="s">
        <v>739</v>
      </c>
      <c r="H109" s="1" t="s">
        <v>17</v>
      </c>
      <c r="I109" s="1" t="s">
        <v>58</v>
      </c>
      <c r="J109" s="1" t="s">
        <v>740</v>
      </c>
      <c r="K109" s="1" t="s">
        <v>137</v>
      </c>
      <c r="L109" s="1" t="s">
        <v>741</v>
      </c>
      <c r="M109" s="1" t="s">
        <v>23</v>
      </c>
      <c r="N109" s="1" t="s">
        <v>745</v>
      </c>
      <c r="O109" s="1" t="s">
        <v>22</v>
      </c>
      <c r="P109" s="1" t="s">
        <v>114</v>
      </c>
      <c r="Q109" s="1" t="s">
        <v>746</v>
      </c>
      <c r="R109" s="28" t="n">
        <v>27.992</v>
      </c>
      <c r="S109" s="28" t="n">
        <v>1</v>
      </c>
      <c r="T109" s="28" t="n">
        <v>0.2</v>
      </c>
      <c r="U109" s="28" t="n">
        <v>2.0994</v>
      </c>
      <c r="V109" s="1" t="s">
        <v>27</v>
      </c>
    </row>
    <row r="110" customFormat="false" ht="15" hidden="false" customHeight="true" outlineLevel="0" collapsed="false">
      <c r="A110" s="1" t="s">
        <v>747</v>
      </c>
      <c r="B110" s="1" t="s">
        <v>735</v>
      </c>
      <c r="C110" s="1" t="s">
        <v>736</v>
      </c>
      <c r="D110" s="1" t="s">
        <v>737</v>
      </c>
      <c r="E110" s="1" t="s">
        <v>85</v>
      </c>
      <c r="F110" s="1" t="s">
        <v>738</v>
      </c>
      <c r="G110" s="1" t="s">
        <v>739</v>
      </c>
      <c r="H110" s="1" t="s">
        <v>17</v>
      </c>
      <c r="I110" s="1" t="s">
        <v>58</v>
      </c>
      <c r="J110" s="1" t="s">
        <v>740</v>
      </c>
      <c r="K110" s="1" t="s">
        <v>137</v>
      </c>
      <c r="L110" s="1" t="s">
        <v>741</v>
      </c>
      <c r="M110" s="1" t="s">
        <v>23</v>
      </c>
      <c r="N110" s="1" t="s">
        <v>748</v>
      </c>
      <c r="O110" s="1" t="s">
        <v>18</v>
      </c>
      <c r="P110" s="1" t="s">
        <v>110</v>
      </c>
      <c r="Q110" s="1" t="s">
        <v>749</v>
      </c>
      <c r="R110" s="28" t="n">
        <v>3.304</v>
      </c>
      <c r="S110" s="28" t="n">
        <v>1</v>
      </c>
      <c r="T110" s="28" t="n">
        <v>0.2</v>
      </c>
      <c r="U110" s="28" t="n">
        <v>1.0738</v>
      </c>
      <c r="V110" s="1" t="s">
        <v>27</v>
      </c>
    </row>
    <row r="111" customFormat="false" ht="15" hidden="false" customHeight="true" outlineLevel="0" collapsed="false">
      <c r="A111" s="1" t="s">
        <v>750</v>
      </c>
      <c r="B111" s="1" t="s">
        <v>751</v>
      </c>
      <c r="C111" s="1" t="s">
        <v>752</v>
      </c>
      <c r="D111" s="1" t="s">
        <v>753</v>
      </c>
      <c r="E111" s="1" t="s">
        <v>85</v>
      </c>
      <c r="F111" s="1" t="s">
        <v>754</v>
      </c>
      <c r="G111" s="1" t="s">
        <v>755</v>
      </c>
      <c r="H111" s="1" t="s">
        <v>25</v>
      </c>
      <c r="I111" s="1" t="s">
        <v>58</v>
      </c>
      <c r="J111" s="1" t="s">
        <v>756</v>
      </c>
      <c r="K111" s="1" t="s">
        <v>326</v>
      </c>
      <c r="L111" s="1" t="s">
        <v>757</v>
      </c>
      <c r="M111" s="1" t="s">
        <v>15</v>
      </c>
      <c r="N111" s="1" t="s">
        <v>758</v>
      </c>
      <c r="O111" s="1" t="s">
        <v>22</v>
      </c>
      <c r="P111" s="1" t="s">
        <v>249</v>
      </c>
      <c r="Q111" s="1" t="s">
        <v>759</v>
      </c>
      <c r="R111" s="28" t="n">
        <v>339.96</v>
      </c>
      <c r="S111" s="28" t="n">
        <v>5</v>
      </c>
      <c r="T111" s="28" t="n">
        <v>0.2</v>
      </c>
      <c r="U111" s="28" t="n">
        <v>67.992</v>
      </c>
      <c r="V111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2026-08-13T03:00:34Z</dcterms:created>
  <dc:creator>openpyxl</dc:creator>
  <dc:description/>
  <dc:language>en-US</dc:language>
  <cp:lastModifiedBy/>
  <dcterms:modified xsi:type="dcterms:W3CDTF">2026-08-13T03:43:05Z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